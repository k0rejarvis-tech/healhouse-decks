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jasonallenjohn/Downloads/"/>
    </mc:Choice>
  </mc:AlternateContent>
  <xr:revisionPtr revIDLastSave="0" documentId="8_{D67D8B0F-0B85-4043-B5B5-0AFECAFE5086}" xr6:coauthVersionLast="47" xr6:coauthVersionMax="47" xr10:uidLastSave="{00000000-0000-0000-0000-000000000000}"/>
  <bookViews>
    <workbookView xWindow="0" yWindow="600" windowWidth="28800" windowHeight="17400" activeTab="6" xr2:uid="{00000000-000D-0000-FFFF-FFFF00000000}"/>
  </bookViews>
  <sheets>
    <sheet name="Claude Log" sheetId="6" r:id="rId1"/>
    <sheet name="Dashboard" sheetId="1" r:id="rId2"/>
    <sheet name="Assumptions" sheetId="2" r:id="rId3"/>
    <sheet name="Pro Forma" sheetId="3" r:id="rId4"/>
    <sheet name="Sensitivity" sheetId="7" r:id="rId5"/>
    <sheet name="Landowner Waterfall" sheetId="4" r:id="rId6"/>
    <sheet name="24-Unit Alternative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0" i="3" l="1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30" i="3"/>
  <c r="C29" i="3"/>
  <c r="C28" i="3"/>
  <c r="C26" i="3"/>
  <c r="C25" i="3"/>
  <c r="B30" i="3"/>
  <c r="B29" i="3"/>
  <c r="B28" i="3"/>
  <c r="B26" i="3"/>
  <c r="B25" i="3"/>
  <c r="F21" i="1"/>
  <c r="F20" i="1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D21" i="3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D18" i="3"/>
  <c r="E18" i="3" s="1"/>
  <c r="F18" i="3" s="1"/>
  <c r="G18" i="3" s="1"/>
  <c r="H18" i="3" s="1"/>
  <c r="I18" i="3" s="1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C23" i="3"/>
  <c r="C22" i="3"/>
  <c r="C21" i="3"/>
  <c r="C20" i="3"/>
  <c r="C19" i="3"/>
  <c r="C18" i="3"/>
  <c r="B23" i="3"/>
  <c r="B22" i="3"/>
  <c r="B21" i="3"/>
  <c r="B20" i="3"/>
  <c r="B19" i="3"/>
  <c r="B21" i="2"/>
  <c r="B20" i="2"/>
  <c r="G23" i="7" s="1"/>
  <c r="B19" i="2"/>
  <c r="B18" i="2"/>
  <c r="E8" i="2" s="1"/>
  <c r="B4" i="3" s="1"/>
  <c r="H22" i="7"/>
  <c r="G22" i="7"/>
  <c r="B30" i="4"/>
  <c r="B25" i="4"/>
  <c r="B20" i="5"/>
  <c r="B18" i="5"/>
  <c r="B17" i="5"/>
  <c r="B16" i="5"/>
  <c r="B14" i="5"/>
  <c r="B10" i="5"/>
  <c r="B7" i="5"/>
  <c r="B6" i="5"/>
  <c r="B18" i="4"/>
  <c r="D4" i="4"/>
  <c r="C4" i="4"/>
  <c r="B28" i="1"/>
  <c r="B27" i="1"/>
  <c r="C27" i="1" s="1"/>
  <c r="B26" i="1"/>
  <c r="C26" i="1" s="1"/>
  <c r="B25" i="1"/>
  <c r="C25" i="1" s="1"/>
  <c r="B24" i="1"/>
  <c r="B16" i="1"/>
  <c r="B13" i="1"/>
  <c r="B11" i="1"/>
  <c r="B10" i="1"/>
  <c r="B9" i="1"/>
  <c r="B8" i="1"/>
  <c r="B7" i="1"/>
  <c r="B6" i="1"/>
  <c r="B5" i="1"/>
  <c r="C24" i="1" s="1"/>
  <c r="C28" i="1" s="1"/>
  <c r="V15" i="3"/>
  <c r="D15" i="3"/>
  <c r="D16" i="3" s="1"/>
  <c r="C16" i="3"/>
  <c r="C15" i="3"/>
  <c r="B16" i="3"/>
  <c r="B15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E9" i="2"/>
  <c r="E7" i="2"/>
  <c r="E6" i="2"/>
  <c r="E5" i="2"/>
  <c r="B23" i="2"/>
  <c r="B8" i="2"/>
  <c r="B14" i="2"/>
  <c r="E23" i="7" l="1"/>
  <c r="C23" i="7"/>
  <c r="B9" i="5"/>
  <c r="G5" i="7"/>
  <c r="H6" i="7"/>
  <c r="B8" i="7"/>
  <c r="C9" i="7"/>
  <c r="D10" i="7"/>
  <c r="E11" i="7"/>
  <c r="F17" i="7"/>
  <c r="G18" i="7"/>
  <c r="H19" i="7"/>
  <c r="B21" i="7"/>
  <c r="C22" i="7"/>
  <c r="D23" i="7"/>
  <c r="H5" i="7"/>
  <c r="B7" i="7"/>
  <c r="C8" i="7"/>
  <c r="D9" i="7"/>
  <c r="E10" i="7"/>
  <c r="F11" i="7"/>
  <c r="G17" i="7"/>
  <c r="H18" i="7"/>
  <c r="B20" i="7"/>
  <c r="C21" i="7"/>
  <c r="D22" i="7"/>
  <c r="B6" i="7"/>
  <c r="C7" i="7"/>
  <c r="D8" i="7"/>
  <c r="E9" i="7"/>
  <c r="F10" i="7"/>
  <c r="G11" i="7"/>
  <c r="H17" i="7"/>
  <c r="B19" i="7"/>
  <c r="C20" i="7"/>
  <c r="D21" i="7"/>
  <c r="E22" i="7"/>
  <c r="F23" i="7"/>
  <c r="D5" i="7"/>
  <c r="E6" i="7"/>
  <c r="F7" i="7"/>
  <c r="H9" i="7"/>
  <c r="B11" i="7"/>
  <c r="C17" i="7"/>
  <c r="D18" i="7"/>
  <c r="E19" i="7"/>
  <c r="F20" i="7"/>
  <c r="G21" i="7"/>
  <c r="B5" i="7"/>
  <c r="C6" i="7"/>
  <c r="D7" i="7"/>
  <c r="E8" i="7"/>
  <c r="F9" i="7"/>
  <c r="G10" i="7"/>
  <c r="H11" i="7"/>
  <c r="B18" i="7"/>
  <c r="C19" i="7"/>
  <c r="D20" i="7"/>
  <c r="E21" i="7"/>
  <c r="F22" i="7"/>
  <c r="E7" i="7"/>
  <c r="H23" i="7"/>
  <c r="C5" i="7"/>
  <c r="D6" i="7"/>
  <c r="F8" i="7"/>
  <c r="G9" i="7"/>
  <c r="H10" i="7"/>
  <c r="B17" i="7"/>
  <c r="C18" i="7"/>
  <c r="D19" i="7"/>
  <c r="E20" i="7"/>
  <c r="F21" i="7"/>
  <c r="G8" i="7"/>
  <c r="E5" i="7"/>
  <c r="F6" i="7"/>
  <c r="G7" i="7"/>
  <c r="H8" i="7"/>
  <c r="B10" i="7"/>
  <c r="C11" i="7"/>
  <c r="D17" i="7"/>
  <c r="E18" i="7"/>
  <c r="F19" i="7"/>
  <c r="G20" i="7"/>
  <c r="H21" i="7"/>
  <c r="B23" i="7"/>
  <c r="B15" i="5"/>
  <c r="B19" i="5" s="1"/>
  <c r="F5" i="7"/>
  <c r="G6" i="7"/>
  <c r="H7" i="7"/>
  <c r="B9" i="7"/>
  <c r="C10" i="7"/>
  <c r="D11" i="7"/>
  <c r="E17" i="7"/>
  <c r="F18" i="7"/>
  <c r="G19" i="7"/>
  <c r="H20" i="7"/>
  <c r="B22" i="7"/>
  <c r="B20" i="4"/>
  <c r="C10" i="4"/>
  <c r="C4" i="3"/>
  <c r="B5" i="3"/>
  <c r="E15" i="3"/>
  <c r="B13" i="5" l="1"/>
  <c r="B11" i="5"/>
  <c r="B12" i="5" s="1"/>
  <c r="B6" i="3"/>
  <c r="D4" i="3"/>
  <c r="C5" i="3"/>
  <c r="C6" i="3" s="1"/>
  <c r="E16" i="3"/>
  <c r="F15" i="3"/>
  <c r="C7" i="3" l="1"/>
  <c r="C8" i="3" s="1"/>
  <c r="C10" i="3" s="1"/>
  <c r="E4" i="3"/>
  <c r="D5" i="3"/>
  <c r="D6" i="3" s="1"/>
  <c r="D7" i="3" s="1"/>
  <c r="D8" i="3" s="1"/>
  <c r="D10" i="3" s="1"/>
  <c r="B7" i="3"/>
  <c r="G15" i="3"/>
  <c r="F16" i="3"/>
  <c r="B17" i="1" l="1"/>
  <c r="B8" i="3"/>
  <c r="D12" i="3"/>
  <c r="E30" i="4" s="1"/>
  <c r="D13" i="3"/>
  <c r="E5" i="3"/>
  <c r="F4" i="3"/>
  <c r="C13" i="3"/>
  <c r="C12" i="3"/>
  <c r="D30" i="4" s="1"/>
  <c r="G16" i="3"/>
  <c r="H15" i="3"/>
  <c r="G4" i="3" l="1"/>
  <c r="F5" i="3"/>
  <c r="F6" i="3" s="1"/>
  <c r="E6" i="3"/>
  <c r="B15" i="1"/>
  <c r="B10" i="3"/>
  <c r="B12" i="1"/>
  <c r="H16" i="3"/>
  <c r="I15" i="3"/>
  <c r="B14" i="1" l="1"/>
  <c r="B13" i="3"/>
  <c r="B12" i="3"/>
  <c r="E7" i="3"/>
  <c r="F7" i="3"/>
  <c r="F8" i="3" s="1"/>
  <c r="F10" i="3" s="1"/>
  <c r="G5" i="3"/>
  <c r="H4" i="3"/>
  <c r="I16" i="3"/>
  <c r="J15" i="3"/>
  <c r="B26" i="4" l="1"/>
  <c r="C30" i="4"/>
  <c r="F12" i="3"/>
  <c r="G30" i="4" s="1"/>
  <c r="F13" i="3"/>
  <c r="E8" i="3"/>
  <c r="C5" i="4"/>
  <c r="D5" i="4" s="1"/>
  <c r="H5" i="3"/>
  <c r="H6" i="3" s="1"/>
  <c r="H7" i="3" s="1"/>
  <c r="H8" i="3" s="1"/>
  <c r="H10" i="3" s="1"/>
  <c r="I4" i="3"/>
  <c r="G6" i="3"/>
  <c r="J16" i="3"/>
  <c r="K15" i="3"/>
  <c r="I5" i="3" l="1"/>
  <c r="I6" i="3" s="1"/>
  <c r="J4" i="3"/>
  <c r="H12" i="3"/>
  <c r="I30" i="4" s="1"/>
  <c r="H13" i="3"/>
  <c r="E10" i="3"/>
  <c r="G7" i="3"/>
  <c r="G8" i="3"/>
  <c r="G10" i="3" s="1"/>
  <c r="K16" i="3"/>
  <c r="L15" i="3"/>
  <c r="E13" i="3" l="1"/>
  <c r="E12" i="3"/>
  <c r="F30" i="4" s="1"/>
  <c r="G13" i="3"/>
  <c r="G12" i="3"/>
  <c r="H30" i="4" s="1"/>
  <c r="J5" i="3"/>
  <c r="J6" i="3"/>
  <c r="K4" i="3"/>
  <c r="I7" i="3"/>
  <c r="I8" i="3" s="1"/>
  <c r="M15" i="3"/>
  <c r="L16" i="3"/>
  <c r="K5" i="3" l="1"/>
  <c r="K6" i="3" s="1"/>
  <c r="L4" i="3"/>
  <c r="J7" i="3"/>
  <c r="J8" i="3"/>
  <c r="J10" i="3" s="1"/>
  <c r="I10" i="3"/>
  <c r="C6" i="4"/>
  <c r="D6" i="4" s="1"/>
  <c r="M16" i="3"/>
  <c r="N15" i="3"/>
  <c r="J13" i="3" l="1"/>
  <c r="J12" i="3"/>
  <c r="K30" i="4" s="1"/>
  <c r="K7" i="3"/>
  <c r="K8" i="3" s="1"/>
  <c r="M4" i="3"/>
  <c r="L5" i="3"/>
  <c r="L6" i="3" s="1"/>
  <c r="I13" i="3"/>
  <c r="I12" i="3"/>
  <c r="J30" i="4" s="1"/>
  <c r="O15" i="3"/>
  <c r="N16" i="3"/>
  <c r="K10" i="3" l="1"/>
  <c r="L7" i="3"/>
  <c r="L8" i="3" s="1"/>
  <c r="L10" i="3" s="1"/>
  <c r="M5" i="3"/>
  <c r="M6" i="3" s="1"/>
  <c r="M7" i="3" s="1"/>
  <c r="M8" i="3" s="1"/>
  <c r="M10" i="3" s="1"/>
  <c r="N4" i="3"/>
  <c r="P15" i="3"/>
  <c r="O16" i="3"/>
  <c r="O4" i="3" l="1"/>
  <c r="N5" i="3"/>
  <c r="N6" i="3" s="1"/>
  <c r="M13" i="3"/>
  <c r="M12" i="3"/>
  <c r="N30" i="4" s="1"/>
  <c r="L13" i="3"/>
  <c r="L12" i="3"/>
  <c r="M30" i="4" s="1"/>
  <c r="K13" i="3"/>
  <c r="K12" i="3"/>
  <c r="L30" i="4" s="1"/>
  <c r="Q15" i="3"/>
  <c r="P16" i="3"/>
  <c r="C7" i="4" l="1"/>
  <c r="D7" i="4" s="1"/>
  <c r="N7" i="3"/>
  <c r="N8" i="3"/>
  <c r="N10" i="3" s="1"/>
  <c r="O5" i="3"/>
  <c r="O6" i="3" s="1"/>
  <c r="P4" i="3"/>
  <c r="Q16" i="3"/>
  <c r="R15" i="3"/>
  <c r="O7" i="3" l="1"/>
  <c r="O8" i="3"/>
  <c r="O10" i="3" s="1"/>
  <c r="Q4" i="3"/>
  <c r="P5" i="3"/>
  <c r="P6" i="3" s="1"/>
  <c r="P7" i="3" s="1"/>
  <c r="P8" i="3" s="1"/>
  <c r="P10" i="3" s="1"/>
  <c r="N13" i="3"/>
  <c r="N12" i="3"/>
  <c r="O30" i="4" s="1"/>
  <c r="S15" i="3"/>
  <c r="R16" i="3"/>
  <c r="P13" i="3" l="1"/>
  <c r="P12" i="3"/>
  <c r="Q30" i="4" s="1"/>
  <c r="R4" i="3"/>
  <c r="Q5" i="3"/>
  <c r="Q6" i="3" s="1"/>
  <c r="Q7" i="3" s="1"/>
  <c r="Q8" i="3" s="1"/>
  <c r="Q10" i="3" s="1"/>
  <c r="O12" i="3"/>
  <c r="O13" i="3"/>
  <c r="S16" i="3"/>
  <c r="T15" i="3"/>
  <c r="C8" i="4" l="1"/>
  <c r="D8" i="4" s="1"/>
  <c r="P30" i="4"/>
  <c r="Q13" i="3"/>
  <c r="Q12" i="3"/>
  <c r="R30" i="4" s="1"/>
  <c r="R5" i="3"/>
  <c r="R6" i="3"/>
  <c r="R7" i="3" s="1"/>
  <c r="R8" i="3" s="1"/>
  <c r="R10" i="3" s="1"/>
  <c r="S4" i="3"/>
  <c r="T16" i="3"/>
  <c r="U15" i="3"/>
  <c r="U16" i="3" s="1"/>
  <c r="S5" i="3" l="1"/>
  <c r="T4" i="3"/>
  <c r="S6" i="3"/>
  <c r="R13" i="3"/>
  <c r="R12" i="3"/>
  <c r="S30" i="4" s="1"/>
  <c r="S7" i="3" l="1"/>
  <c r="S8" i="3"/>
  <c r="S10" i="3" s="1"/>
  <c r="U4" i="3"/>
  <c r="T5" i="3"/>
  <c r="T6" i="3" s="1"/>
  <c r="T7" i="3" s="1"/>
  <c r="T8" i="3" s="1"/>
  <c r="T10" i="3" s="1"/>
  <c r="T12" i="3" l="1"/>
  <c r="U30" i="4" s="1"/>
  <c r="T13" i="3"/>
  <c r="V4" i="3"/>
  <c r="U5" i="3"/>
  <c r="S13" i="3"/>
  <c r="S12" i="3"/>
  <c r="T30" i="4" s="1"/>
  <c r="U6" i="3" l="1"/>
  <c r="V5" i="3"/>
  <c r="V6" i="3" l="1"/>
  <c r="U7" i="3"/>
  <c r="U8" i="3" l="1"/>
  <c r="V7" i="3"/>
  <c r="U10" i="3" l="1"/>
  <c r="V8" i="3"/>
  <c r="V10" i="3" l="1"/>
  <c r="U13" i="3"/>
  <c r="V13" i="3" s="1"/>
  <c r="U12" i="3"/>
  <c r="V30" i="4" s="1"/>
  <c r="B28" i="4" s="1"/>
  <c r="B20" i="1" s="1"/>
  <c r="V12" i="3" l="1"/>
  <c r="B29" i="4" s="1"/>
  <c r="B21" i="1" s="1"/>
  <c r="C9" i="4"/>
  <c r="D9" i="4" s="1"/>
  <c r="D10" i="4" s="1"/>
  <c r="D11" i="4" s="1"/>
  <c r="B18" i="1" l="1"/>
  <c r="B19" i="1" s="1"/>
  <c r="B19" i="4"/>
  <c r="B21" i="4" s="1"/>
  <c r="B22" i="4" s="1"/>
</calcChain>
</file>

<file path=xl/sharedStrings.xml><?xml version="1.0" encoding="utf-8"?>
<sst xmlns="http://schemas.openxmlformats.org/spreadsheetml/2006/main" count="220" uniqueCount="193">
  <si>
    <t>2008 BRIMLEY ROAD — Common Ground Initiative Model</t>
  </si>
  <si>
    <t>30-Unit Purpose-Built Rental · Toronto (Scarborough), ON · BCH/CMHC Financial Model</t>
  </si>
  <si>
    <t>KEY METRICS</t>
  </si>
  <si>
    <t>Total Project Cost</t>
  </si>
  <si>
    <t>Land Valuation (BCH pitch)</t>
  </si>
  <si>
    <t>Total Units</t>
  </si>
  <si>
    <t>Cost per Unit</t>
  </si>
  <si>
    <t>Day 1 Cash to Landowner</t>
  </si>
  <si>
    <t>Landowner Retained Equity</t>
  </si>
  <si>
    <t>Year 20 Equity Return</t>
  </si>
  <si>
    <t>Year 1 NOI</t>
  </si>
  <si>
    <t>Year 1 Annual Debt Service</t>
  </si>
  <si>
    <t>Year 1 Net Cash Flow</t>
  </si>
  <si>
    <t>DSCR (Year 1)</t>
  </si>
  <si>
    <t>LTV</t>
  </si>
  <si>
    <t>Break-even Occupancy</t>
  </si>
  <si>
    <t>Landowner 20-Yr Cumulative Income</t>
  </si>
  <si>
    <t>Total 20-Yr Return to Landowner</t>
  </si>
  <si>
    <t>CAPITAL STACK</t>
  </si>
  <si>
    <t>Source</t>
  </si>
  <si>
    <t>%</t>
  </si>
  <si>
    <t>Amount</t>
  </si>
  <si>
    <t>Treatment</t>
  </si>
  <si>
    <t>BCH Federal Grant</t>
  </si>
  <si>
    <t>Forgivable, vests over 20 years</t>
  </si>
  <si>
    <t>CMHC MLI Mortgage</t>
  </si>
  <si>
    <t>50-yr amortization, ~4.3% rate</t>
  </si>
  <si>
    <t>Municipal Incentives</t>
  </si>
  <si>
    <t>DC waivers, property tax relief</t>
  </si>
  <si>
    <t>Landowner Equity</t>
  </si>
  <si>
    <t>Land contribution at appraised value</t>
  </si>
  <si>
    <t>TOTAL</t>
  </si>
  <si>
    <t>Project Assumptions — Editable Inputs</t>
  </si>
  <si>
    <t>Blue = inputs that can be changed for sensitivity analysis</t>
  </si>
  <si>
    <t>PROJECT</t>
  </si>
  <si>
    <t>Project Name</t>
  </si>
  <si>
    <t>2008 Brimley Road</t>
  </si>
  <si>
    <t>Cost per Unit ($)</t>
  </si>
  <si>
    <t>Total Development Cost ($)</t>
  </si>
  <si>
    <t>LAND</t>
  </si>
  <si>
    <t>Owner Asking Price ($)</t>
  </si>
  <si>
    <t>BCH Pitch Valuation ($)</t>
  </si>
  <si>
    <t>Day 1 Cash to Landowner ($)</t>
  </si>
  <si>
    <t>Year 20 Equity Return ($)</t>
  </si>
  <si>
    <t>OPERATING</t>
  </si>
  <si>
    <t>Average Monthly Rent ($)</t>
  </si>
  <si>
    <t>Annual Rent Growth (%)</t>
  </si>
  <si>
    <t>Vacancy Rate (%)</t>
  </si>
  <si>
    <t>Operating Expense Ratio (% of EGI)</t>
  </si>
  <si>
    <t>Landowner NCF Share (%)</t>
  </si>
  <si>
    <t>NFP NCF Share (%)</t>
  </si>
  <si>
    <t>BCH Grant (%)</t>
  </si>
  <si>
    <t>CMHC MLI Mortgage (%)</t>
  </si>
  <si>
    <t>Municipal Incentives (%)</t>
  </si>
  <si>
    <t>Landowner Equity (%)</t>
  </si>
  <si>
    <t>MORTGAGE</t>
  </si>
  <si>
    <t>CMHC MLI Rate (%)</t>
  </si>
  <si>
    <t>Amortization (years)</t>
  </si>
  <si>
    <t>CMHC Minimum DSCR</t>
  </si>
  <si>
    <t>Term (years)</t>
  </si>
  <si>
    <t>20-Year Operating Pro Forma</t>
  </si>
  <si>
    <t>Line Item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</si>
  <si>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</si>
  <si>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</si>
  <si>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</si>
  <si>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</si>
  <si>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</si>
  <si>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</si>
  <si>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</si>
  <si>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</si>
  <si>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</si>
  <si>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</si>
  <si>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</si>
  <si>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</si>
  <si>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</si>
  <si>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</si>
  <si>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</si>
  <si>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</si>
  <si>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</si>
  <si>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</si>
  <si>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</si>
  <si>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</si>
  <si>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20-Yr Cum</t>
  </si>
  <si>
    <t>Gross Potential Rent</t>
  </si>
  <si>
    <t>Less: Vacancy Loss</t>
  </si>
  <si>
    <t>Effective Gross Income</t>
  </si>
  <si>
    <t>Less: Operating Expenses</t>
  </si>
  <si>
    <t>Net Operating Income (NOI)</t>
  </si>
  <si>
    <t>Less: Annual Debt Service</t>
  </si>
  <si>
    <t>Net Cash Flow (NCF)</t>
  </si>
  <si>
    <t>Landowner Distribution (60%)</t>
  </si>
  <si>
    <t>NFP Distribution (40%)</t>
  </si>
  <si>
    <t>Cumulative Mortgage Paydown</t>
  </si>
  <si>
    <t>Mortgage Balance EOY</t>
  </si>
  <si>
    <t>Landowner Total Return — 20-Year Waterfall</t>
  </si>
  <si>
    <t>Component</t>
  </si>
  <si>
    <t>Timing</t>
  </si>
  <si>
    <t>Cumulative ($)</t>
  </si>
  <si>
    <t>Notes</t>
  </si>
  <si>
    <t>Day 1 Cash Payment</t>
  </si>
  <si>
    <t>Day 1</t>
  </si>
  <si>
    <t>First construction draw</t>
  </si>
  <si>
    <t>Year 1 Net Cash Flow Distribution</t>
  </si>
  <si>
    <t>60% of NCF after debt service</t>
  </si>
  <si>
    <t>Cumulative through Year 5</t>
  </si>
  <si>
    <t>Cumulative through Year 10</t>
  </si>
  <si>
    <t>Cumulative through Year 15</t>
  </si>
  <si>
    <t>Cumulative through Year 20</t>
  </si>
  <si>
    <t>Original $600K equity returned</t>
  </si>
  <si>
    <t>TOTAL TO LANDOWNER</t>
  </si>
  <si>
    <t>Day 1 + 20-yr income + Year 20 equity</t>
  </si>
  <si>
    <t>COMPARISON: BCH vs Conventional Sale</t>
  </si>
  <si>
    <t>Cash sale today (low)</t>
  </si>
  <si>
    <t>Cash sale today (high)</t>
  </si>
  <si>
    <t>Sale + VTB structure (best case)</t>
  </si>
  <si>
    <t xml:space="preserve">  → VTB note carried by seller; subject to buyer payment performance</t>
  </si>
  <si>
    <t>BCH route — Day 1 cash (no VTB risk)</t>
  </si>
  <si>
    <t>BCH route — 20-yr cumulative income</t>
  </si>
  <si>
    <t>BCH route — Year 20 equity return</t>
  </si>
  <si>
    <t>BCH route total</t>
  </si>
  <si>
    <t>BCH advantage vs $1.4M cash sale midpoint</t>
  </si>
  <si>
    <t>24-Unit Alternative Configuration</t>
  </si>
  <si>
    <t>Smaller envelope · Same site · Same capital stack proportions</t>
  </si>
  <si>
    <t>PROJECT FUNDAMENTALS</t>
  </si>
  <si>
    <t>Avg Monthly Rent</t>
  </si>
  <si>
    <t>Year 1 Landowner Distribution (60%)</t>
  </si>
  <si>
    <t>20-Yr Landowner Cumulative Income</t>
  </si>
  <si>
    <t>TOTAL LANDOWNER RETURN</t>
  </si>
  <si>
    <t>Year 20 Mortgage Paydown (NFP)</t>
  </si>
  <si>
    <t>Turn #</t>
  </si>
  <si>
    <t>Date</t>
  </si>
  <si>
    <t>User Request</t>
  </si>
  <si>
    <t>Action Taken</t>
  </si>
  <si>
    <t>Details</t>
  </si>
  <si>
    <t>Outcome</t>
  </si>
  <si>
    <t>Review the spreadsheet and ensure all formulas are correct and working.</t>
  </si>
  <si>
    <t>Audited all 5 sheets; fixed 3 broken formulas in Assumptions; flagged structural issues (mostly hardcoded values, label conflicts) for user decision.</t>
  </si>
  <si>
    <t>Fixes: Assumptions!B8 =B5*B6 (#VALUE!) → =B6*B7 = $12,340,290 (units × cost/unit). Assumptions!B15 =B13 (returned $1.4M, wrong reference for Year 20 equity return) → hardcoded 600000 to match Dashboard B11. Assumptions!B23 =1-B19 (returned 98%, computed off rent growth) → =1-B22 = 40% (correct NFP share). Verified math throughout: PMT $300,448 ✓ at 4.3%/50yr/$6.17M; Y1 NOI $477,945 ✓; DSCR 1.59x ✓; 60/40 NCF splits ✓; 24-Unit alt all ties ✓.</t>
  </si>
  <si>
    <t>Formula bugs resolved. Outstanding issues raised to user: (a) Pro Forma, Dashboard, Landowner Waterfall, 24-Unit Alternative are 100% hardcoded — not driven by Assumptions; (b) 'Landowner Retained Equity' label means $1M in Assumptions!B14 but $600K on Dashboard B10; (c) Landowner Waterfall column C labeled 'cumulative' but values are incremental — column D holds true cumulatives.</t>
  </si>
  <si>
    <t>Value Below Asking ($)</t>
  </si>
  <si>
    <t>Mortgage Principal ($)</t>
  </si>
  <si>
    <t>Annual Debt Service ($)</t>
  </si>
  <si>
    <t>Monthly PMT ($)</t>
  </si>
  <si>
    <t>Annual GPR Year 1 ($)</t>
  </si>
  <si>
    <t>Capital Stack Check</t>
  </si>
  <si>
    <t>Period Income ($)</t>
  </si>
  <si>
    <t>Years 2-5 Income</t>
  </si>
  <si>
    <t>Years 6-10 Income</t>
  </si>
  <si>
    <t>Years 11-15 Income</t>
  </si>
  <si>
    <t>Years 16-20 Income</t>
  </si>
  <si>
    <t>Make the model better — implement Tier 1 improvements (wire everything to formulas).</t>
  </si>
  <si>
    <t>Converted the entire workbook from hardcoded snapshot to a live formula-driven model. Assumptions sheet is now the single source of inputs; Pro Forma, Dashboard, Landowner Waterfall, and 24-Unit Alternative all derive from it.</t>
  </si>
  <si>
    <t>Assumptions: added DERIVED block (E5:E9) with mortgage principal =B8*B27, annual DS =-PMT(B32/12,B33*12,E5)*12, GPR Y1, capital stack check; renamed B14 'Value Below Asking'; color-coded blue inputs / black formulas; applied $/% number formats. Pro Forma: rebuilt all 16 rows × 21 cols as draggable formulas; B-col pulls from Assumptions, C-U applies rent growth (1+B19), debt service constant from $E$6, distributions from $B$22/$B$23 share assumptions, mortgage amort uses CUMPRINC for paydown and balance, V-col is SUM totals. Dashboard: all 15 KPIs (B5:B19) and capital stack (B22:C26) wired to formulas. Landowner Waterfall: relabeled column C 'Period Income' (incremental), column D 'Cumulative'; renamed rows 6-9 to 'Years 2-5/6-10/11-15/16-20'; all C-col cells now =SUM over Pro Forma year ranges; D-col running cumulative; comparison block B18:B22 wired. 24-Unit Alternative: only B5 (units=24) and B8 (rent=2200) remain inputs; everything else derives from shared Assumptions; B15 uses growing-annuity closed form for 20-yr cum income. Verified end-to-end: changed rent 2150→2300, Dashboard NOI rose 477,945→511,290 and DSCR 1.59→1.70; reverted cleanly.</t>
  </si>
  <si>
    <t>Model is fully live. Original numbers preserved exactly: TPC $12,340,290; Y1 NOI $477,945; DSCR 1.59x; 20-yr landowner cum income $3,362,302; total landowner return $5,362,302; 24-unit alt total $4,819,473. Tier 2 (sensitivity tables, scenario toggle, IRR, charts, break-even) and Tier 3 polish remain available on request.</t>
  </si>
  <si>
    <t>Anything else we can do to improve the model?</t>
  </si>
  <si>
    <t>Presented Tier 2 / Tier 3 / Tier 4 enhancement menu and recommended a combination.</t>
  </si>
  <si>
    <t>Tier 2: IRR &amp; equity multiple for landowner; sensitivity table (rent × vacancy); Base/Downside/Upside scenario toggle; break-even rent solver; opex line-item detail. Tier 3: charts (capital stack donut, NCF stacked column, cumulative return line, DSCR-by-year); Sources &amp; Uses table; stabilized cap rate / refinance test; print layout; data validation on inputs. Tier 4: separate rent vs opex inflation; vacancy lease-up curve; MLI Select scoring proxy.</t>
  </si>
  <si>
    <t>Awaiting user selection. Recommended bundle: items 1+2+3+6 (IRR + sensitivity + scenarios + charts) for BCH/lender pitch readiness.</t>
  </si>
  <si>
    <t>RETURN METRICS</t>
  </si>
  <si>
    <t>Land Contributed (BCH valuation)</t>
  </si>
  <si>
    <t>Day 1 Cash + Year 1 NCF</t>
  </si>
  <si>
    <t>Years 2-20 NCF + Year 20 equity (combined Y20)</t>
  </si>
  <si>
    <t>Landowner IRR</t>
  </si>
  <si>
    <t>Equity Multiple (Total Inflows / Land In)</t>
  </si>
  <si>
    <t>Cash Flow Series (for IRR)</t>
  </si>
  <si>
    <t>Year</t>
  </si>
  <si>
    <t>Landowner Equity Multiple</t>
  </si>
  <si>
    <t>Sensitivity Analysis</t>
  </si>
  <si>
    <t>Year 1 DSCR — Rent (rows) × Vacancy (cols). Base case highlighted.</t>
  </si>
  <si>
    <t>DSCR (Y1)</t>
  </si>
  <si>
    <t>20-Yr Landowner Cumulative Income — Rent (rows) × Rent Growth (cols)</t>
  </si>
  <si>
    <t>Cum Income</t>
  </si>
  <si>
    <t>SCENARIO TOGGLE</t>
  </si>
  <si>
    <t>Active Scenario →</t>
  </si>
  <si>
    <t>Base</t>
  </si>
  <si>
    <t>Driver</t>
  </si>
  <si>
    <t>Downside</t>
  </si>
  <si>
    <t>Upside</t>
  </si>
  <si>
    <t>Avg Monthly Rent ($)</t>
  </si>
  <si>
    <t>Rent Growth (%)</t>
  </si>
  <si>
    <t>OpEx Ratio (% of EGI)</t>
  </si>
  <si>
    <t>Year (chart label)</t>
  </si>
  <si>
    <t>Landowner Distribution</t>
  </si>
  <si>
    <t>NFP Distribution</t>
  </si>
  <si>
    <t>Cumulative Landowner Income</t>
  </si>
  <si>
    <t>DSCR by Year</t>
  </si>
  <si>
    <t>DSCR Min Threshold (1.10)</t>
  </si>
  <si>
    <t>Year (chart)</t>
  </si>
  <si>
    <t>1.10x Threshold</t>
  </si>
  <si>
    <t>Implement all 4 enhancement bundles — IRR/EM, sensitivity, scenario toggle, charts.</t>
  </si>
  <si>
    <t>Added time-weighted return metrics, two sensitivity tables, three-state scenario toggle with dropdown, and four charts to the Dashboard. New 'Sensitivity' sheet created.</t>
  </si>
  <si>
    <t>(1) IRR &amp; EM on Landowner Waterfall: built 21-period cash flow series in B30:V30 (t=0 = land contributed -$2M + $1.4M Day 1 cash; t=1..19 = annual NCF distributions; t=20 = NCF + $600K equity return). =IRR(B30:V30) yields 22.04%; equity multiple = (Day1+CumIncome+Y20Equity)/Land = 2.68x. Surfaced both on Dashboard B20/B21 (inserted 2 rows; capital-stack rows auto-shifted). (2) Sensitivity sheet: 7×7 DSCR table (rent $2,000-$2,300 × vacancy 2-8%) with conditional formatting (red &lt;1.10, green &gt;=1.30) and yellow base case at E8; second 7×7 table for 20-yr Landowner Cum Income (rent × rent growth 1-4%) using closed-form growing annuity. (3) Scenario toggle on Assumptions D11:G18: dropdown at E12 (Downside/Base/Upside) drives B18/B19/B20/B21 via INDEX/MATCH. Tested cascade — Downside DSCR 1.34x/IRR 13.8%, Base 1.59x/22.0%, Upside 1.82x/30.3%. (4) Charts on Dashboard: Capital Stack donut (E1:K12), Cumulative Landowner Income line (L1:R12), Annual NCF Distributions stacked column (E13:K27), DSCR by Year + 1.10 threshold line (L13:R27). Chart data blocks added to Pro Forma rows 18-30.</t>
  </si>
  <si>
    <t>Model is now decision-ready: live IRR/EM, scenario stress testing, two-way sensitivity, and visual charts. Zero formula errors across 6 sheets. Base case verified: TPC $12.34M / NOI $478K / DSCR 1.59x / IRR 22.0% / EM 2.68x. Tier 2 items remaining (break-even rent solver, opex line-item detail) and Tier 3-4 items (S&amp;U table, cap-rate test, print layout, data validation, opex inflation, lease-up curve, MLI scoring) available on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</si>
</sst>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.0%"/>
    <numFmt numFmtId="166" formatCode="0.00&quot;x&quot;"/>
    <numFmt numFmtId="168" formatCode="&quot;$&quot;#,##0"/>
    <numFmt numFmtId="170" formatCode="&quot;$&quot;#,##0;\(&quot;$&quot;#,##0\);\-"/>
    <numFmt numFmtId="171" formatCode="\+&quot;$&quot;#,##0;\-&quot;$&quot;#,##0"/>
    <numFmt numFmtId="173" formatCode="&quot;$&quot;#,##0;\(&quot;$&quot;#,##0\)"/>
  </numFmts>
  <fonts count="29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color rgb="FFC9A84C"/>
      <name val="Calibri"/>
      <family val="2"/>
    </font>
    <font>
      <b/>
      <sz val="11"/>
      <color rgb="FFFFFFFF"/>
      <name val="Calibri"/>
      <family val="2"/>
    </font>
    <font>
      <b/>
      <sz val="10"/>
      <color rgb="FF174A32"/>
      <name val="Calibri"/>
      <family val="2"/>
    </font>
    <font>
      <sz val="10"/>
      <color rgb="FF1A1A1A"/>
      <name val="Calibri"/>
      <family val="2"/>
    </font>
    <font>
      <b/>
      <sz val="16"/>
      <color rgb="FFFFFFFF"/>
      <name val="Calibri"/>
      <family val="2"/>
    </font>
    <font>
      <i/>
      <sz val="9"/>
      <color rgb="FF555555"/>
      <name val="Calibri"/>
      <family val="2"/>
    </font>
    <font>
      <b/>
      <sz val="10"/>
      <color rgb="FFFFFFFF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"/>
      <family val="2"/>
    </font>
    <font>
      <i/>
      <sz val="10"/>
      <color rgb="FF555555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1A1A1A"/>
      <name val="Calibri"/>
      <family val="2"/>
    </font>
    <font>
      <sz val="11"/>
      <color rgb="FF008000"/>
      <name val="Calibri"/>
      <family val="2"/>
    </font>
    <font>
      <sz val="10"/>
      <color rgb="FF008000"/>
      <name val="Calibri"/>
      <family val="2"/>
    </font>
    <font>
      <b/>
      <sz val="11"/>
      <color rgb="FF008000"/>
      <name val="Calibri"/>
      <family val="2"/>
    </font>
    <font>
      <b/>
      <sz val="10"/>
      <color rgb="FF008000"/>
      <name val="Calibri"/>
      <family val="2"/>
    </font>
    <font>
      <b/>
      <sz val="11"/>
      <color rgb="FF008000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8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4A32"/>
        <bgColor rgb="FF174A32"/>
      </patternFill>
    </fill>
    <fill>
      <patternFill patternType="solid">
        <fgColor rgb="FF1F5F3F"/>
        <bgColor rgb="FF1F5F3F"/>
      </patternFill>
    </fill>
    <fill>
      <patternFill patternType="solid">
        <fgColor rgb="FFFAF6EC"/>
        <bgColor rgb="FFFAF6EC"/>
      </patternFill>
    </fill>
    <fill>
      <patternFill patternType="solid">
        <fgColor rgb="FFF4ECD4"/>
        <bgColor rgb="FFF4ECD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4" fillId="4" borderId="0" xfId="0" applyFont="1" applyFill="1" applyAlignment="1">
      <alignment horizontal="left" vertical="center"/>
    </xf>
    <xf numFmtId="0" fontId="4" fillId="4" borderId="1" xfId="0" applyFont="1" applyFill="1" applyBorder="1"/>
    <xf numFmtId="0" fontId="5" fillId="0" borderId="1" xfId="0" applyFont="1" applyBorder="1"/>
    <xf numFmtId="0" fontId="3" fillId="2" borderId="1" xfId="0" applyFont="1" applyFill="1" applyBorder="1"/>
    <xf numFmtId="0" fontId="5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4" borderId="1" xfId="0" applyFont="1" applyFill="1" applyBorder="1"/>
    <xf numFmtId="0" fontId="5" fillId="5" borderId="1" xfId="0" applyFont="1" applyFill="1" applyBorder="1"/>
    <xf numFmtId="0" fontId="0" fillId="0" borderId="0" xfId="0"/>
    <xf numFmtId="0" fontId="5" fillId="0" borderId="1" xfId="0" applyFont="1" applyBorder="1"/>
    <xf numFmtId="0" fontId="3" fillId="3" borderId="0" xfId="0" applyFont="1" applyFill="1" applyAlignment="1">
      <alignment horizontal="left" vertical="center"/>
    </xf>
    <xf numFmtId="0" fontId="3" fillId="3" borderId="0" xfId="0" applyFont="1" applyFill="1"/>
    <xf numFmtId="0" fontId="3" fillId="2" borderId="1" xfId="0" applyFont="1" applyFill="1" applyBorder="1"/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/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3" borderId="0" xfId="0" applyFont="1" applyFill="1"/>
    <xf numFmtId="0" fontId="12" fillId="0" borderId="0" xfId="0" applyFont="1"/>
    <xf numFmtId="0" fontId="12" fillId="6" borderId="0" xfId="0" applyFont="1" applyFill="1"/>
    <xf numFmtId="14" fontId="0" fillId="0" borderId="0" xfId="0" applyNumberFormat="1"/>
    <xf numFmtId="168" fontId="9" fillId="0" borderId="1" xfId="0" applyNumberFormat="1" applyFont="1" applyBorder="1" applyAlignment="1">
      <alignment horizontal="right" vertical="center"/>
    </xf>
    <xf numFmtId="168" fontId="10" fillId="0" borderId="1" xfId="0" applyNumberFormat="1" applyFont="1" applyBorder="1" applyAlignment="1">
      <alignment horizontal="right" vertical="center"/>
    </xf>
    <xf numFmtId="10" fontId="9" fillId="0" borderId="1" xfId="0" applyNumberFormat="1" applyFont="1" applyBorder="1" applyAlignment="1">
      <alignment horizontal="right" vertical="center"/>
    </xf>
    <xf numFmtId="168" fontId="13" fillId="0" borderId="0" xfId="0" applyNumberFormat="1" applyFont="1"/>
    <xf numFmtId="10" fontId="13" fillId="0" borderId="0" xfId="0" applyNumberFormat="1" applyFont="1"/>
    <xf numFmtId="0" fontId="12" fillId="0" borderId="0" xfId="0" applyFont="1"/>
    <xf numFmtId="0" fontId="14" fillId="0" borderId="0" xfId="0" applyFont="1"/>
    <xf numFmtId="0" fontId="12" fillId="0" borderId="0" xfId="0" applyFont="1" applyAlignment="1">
      <alignment horizontal="center"/>
    </xf>
    <xf numFmtId="0" fontId="12" fillId="7" borderId="0" xfId="0" applyFont="1" applyFill="1" applyAlignment="1">
      <alignment horizontal="center"/>
    </xf>
    <xf numFmtId="170" fontId="13" fillId="0" borderId="0" xfId="0" applyNumberFormat="1" applyFont="1"/>
    <xf numFmtId="170" fontId="15" fillId="7" borderId="0" xfId="0" applyNumberFormat="1" applyFont="1" applyFill="1"/>
    <xf numFmtId="170" fontId="13" fillId="0" borderId="2" xfId="0" applyNumberFormat="1" applyFont="1" applyBorder="1"/>
    <xf numFmtId="170" fontId="15" fillId="7" borderId="2" xfId="0" applyNumberFormat="1" applyFont="1" applyFill="1" applyBorder="1"/>
    <xf numFmtId="170" fontId="15" fillId="0" borderId="2" xfId="0" applyNumberFormat="1" applyFont="1" applyBorder="1"/>
    <xf numFmtId="168" fontId="9" fillId="0" borderId="1" xfId="0" applyNumberFormat="1" applyFont="1" applyBorder="1" applyAlignment="1">
      <alignment horizontal="right" vertical="center"/>
    </xf>
    <xf numFmtId="168" fontId="5" fillId="0" borderId="1" xfId="0" applyNumberFormat="1" applyFont="1" applyBorder="1" applyAlignment="1">
      <alignment horizontal="right" vertical="center"/>
    </xf>
    <xf numFmtId="168" fontId="4" fillId="5" borderId="1" xfId="0" applyNumberFormat="1" applyFont="1" applyFill="1" applyBorder="1" applyAlignment="1">
      <alignment horizontal="right" vertical="center"/>
    </xf>
    <xf numFmtId="1" fontId="9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8" fontId="5" fillId="5" borderId="1" xfId="0" applyNumberFormat="1" applyFont="1" applyFill="1" applyBorder="1" applyAlignment="1">
      <alignment horizontal="right" vertical="center"/>
    </xf>
    <xf numFmtId="168" fontId="17" fillId="0" borderId="0" xfId="0" applyNumberFormat="1" applyFont="1" applyAlignment="1">
      <alignment horizontal="right" vertical="center"/>
    </xf>
    <xf numFmtId="1" fontId="17" fillId="0" borderId="0" xfId="0" applyNumberFormat="1" applyFont="1" applyAlignment="1">
      <alignment horizontal="right" vertical="center"/>
    </xf>
    <xf numFmtId="168" fontId="17" fillId="5" borderId="0" xfId="0" applyNumberFormat="1" applyFont="1" applyFill="1" applyAlignment="1">
      <alignment horizontal="right" vertical="center"/>
    </xf>
    <xf numFmtId="166" fontId="17" fillId="0" borderId="0" xfId="0" applyNumberFormat="1" applyFont="1" applyAlignment="1">
      <alignment horizontal="right" vertical="center"/>
    </xf>
    <xf numFmtId="165" fontId="17" fillId="0" borderId="0" xfId="0" applyNumberFormat="1" applyFont="1" applyAlignment="1">
      <alignment horizontal="right" vertical="center"/>
    </xf>
    <xf numFmtId="10" fontId="18" fillId="0" borderId="1" xfId="0" applyNumberFormat="1" applyFont="1" applyBorder="1" applyAlignment="1">
      <alignment horizontal="right" vertical="center"/>
    </xf>
    <xf numFmtId="168" fontId="18" fillId="0" borderId="1" xfId="0" applyNumberFormat="1" applyFont="1" applyBorder="1" applyAlignment="1">
      <alignment horizontal="right" vertical="center"/>
    </xf>
    <xf numFmtId="10" fontId="19" fillId="2" borderId="1" xfId="0" applyNumberFormat="1" applyFont="1" applyFill="1" applyBorder="1" applyAlignment="1">
      <alignment horizontal="right" vertical="center"/>
    </xf>
    <xf numFmtId="168" fontId="19" fillId="2" borderId="1" xfId="0" applyNumberFormat="1" applyFont="1" applyFill="1" applyBorder="1" applyAlignment="1">
      <alignment horizontal="right" vertical="center"/>
    </xf>
    <xf numFmtId="168" fontId="18" fillId="0" borderId="1" xfId="0" applyNumberFormat="1" applyFont="1" applyBorder="1" applyAlignment="1">
      <alignment horizontal="right" vertical="center"/>
    </xf>
    <xf numFmtId="168" fontId="20" fillId="0" borderId="1" xfId="0" applyNumberFormat="1" applyFont="1" applyBorder="1" applyAlignment="1">
      <alignment horizontal="right" vertical="center"/>
    </xf>
    <xf numFmtId="171" fontId="20" fillId="5" borderId="1" xfId="0" applyNumberFormat="1" applyFont="1" applyFill="1" applyBorder="1" applyAlignment="1">
      <alignment horizontal="right" vertical="center"/>
    </xf>
    <xf numFmtId="168" fontId="20" fillId="5" borderId="1" xfId="0" applyNumberFormat="1" applyFont="1" applyFill="1" applyBorder="1" applyAlignment="1">
      <alignment horizontal="right" vertical="center"/>
    </xf>
    <xf numFmtId="168" fontId="21" fillId="0" borderId="1" xfId="0" applyNumberFormat="1" applyFont="1" applyBorder="1" applyAlignment="1">
      <alignment horizontal="left" vertical="center"/>
    </xf>
    <xf numFmtId="168" fontId="22" fillId="5" borderId="1" xfId="0" applyNumberFormat="1" applyFont="1" applyFill="1" applyBorder="1" applyAlignment="1">
      <alignment horizontal="right" vertical="center"/>
    </xf>
    <xf numFmtId="168" fontId="23" fillId="2" borderId="1" xfId="0" applyNumberFormat="1" applyFont="1" applyFill="1" applyBorder="1" applyAlignment="1">
      <alignment horizontal="right" vertical="center"/>
    </xf>
    <xf numFmtId="170" fontId="24" fillId="0" borderId="0" xfId="0" applyNumberFormat="1" applyFont="1"/>
    <xf numFmtId="170" fontId="24" fillId="0" borderId="2" xfId="0" applyNumberFormat="1" applyFont="1" applyBorder="1"/>
    <xf numFmtId="170" fontId="21" fillId="0" borderId="2" xfId="0" applyNumberFormat="1" applyFont="1" applyBorder="1"/>
    <xf numFmtId="0" fontId="16" fillId="0" borderId="0" xfId="0" applyFont="1" applyFill="1" applyBorder="1" applyAlignment="1">
      <alignment horizontal="left" vertical="center"/>
    </xf>
    <xf numFmtId="173" fontId="24" fillId="0" borderId="0" xfId="0" applyNumberFormat="1" applyFont="1"/>
    <xf numFmtId="168" fontId="24" fillId="0" borderId="0" xfId="0" applyNumberFormat="1" applyFont="1"/>
    <xf numFmtId="10" fontId="21" fillId="0" borderId="0" xfId="0" applyNumberFormat="1" applyFont="1"/>
    <xf numFmtId="166" fontId="21" fillId="0" borderId="0" xfId="0" applyNumberFormat="1" applyFont="1"/>
    <xf numFmtId="0" fontId="25" fillId="0" borderId="0" xfId="0" applyFont="1"/>
    <xf numFmtId="173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/>
    </xf>
    <xf numFmtId="10" fontId="19" fillId="5" borderId="0" xfId="0" applyNumberFormat="1" applyFont="1" applyFill="1" applyAlignment="1">
      <alignment horizontal="right" vertical="center"/>
    </xf>
    <xf numFmtId="166" fontId="19" fillId="5" borderId="0" xfId="0" applyNumberFormat="1" applyFont="1" applyFill="1" applyAlignment="1">
      <alignment horizontal="right" vertical="center"/>
    </xf>
    <xf numFmtId="166" fontId="0" fillId="0" borderId="3" xfId="0" applyNumberFormat="1" applyBorder="1"/>
    <xf numFmtId="166" fontId="12" fillId="9" borderId="3" xfId="0" applyNumberFormat="1" applyFont="1" applyFill="1" applyBorder="1"/>
    <xf numFmtId="168" fontId="26" fillId="8" borderId="3" xfId="0" applyNumberFormat="1" applyFont="1" applyFill="1" applyBorder="1"/>
    <xf numFmtId="0" fontId="12" fillId="6" borderId="3" xfId="0" applyFont="1" applyFill="1" applyBorder="1"/>
    <xf numFmtId="165" fontId="12" fillId="6" borderId="3" xfId="0" applyNumberFormat="1" applyFont="1" applyFill="1" applyBorder="1" applyAlignment="1">
      <alignment horizontal="center"/>
    </xf>
    <xf numFmtId="168" fontId="12" fillId="6" borderId="3" xfId="0" applyNumberFormat="1" applyFont="1" applyFill="1" applyBorder="1"/>
    <xf numFmtId="168" fontId="0" fillId="0" borderId="3" xfId="0" applyNumberFormat="1" applyBorder="1"/>
    <xf numFmtId="168" fontId="12" fillId="9" borderId="3" xfId="0" applyNumberFormat="1" applyFont="1" applyFill="1" applyBorder="1"/>
    <xf numFmtId="0" fontId="28" fillId="9" borderId="0" xfId="0" applyFont="1" applyFill="1" applyAlignment="1">
      <alignment horizontal="center"/>
    </xf>
    <xf numFmtId="168" fontId="27" fillId="0" borderId="0" xfId="0" applyNumberFormat="1" applyFont="1"/>
    <xf numFmtId="165" fontId="27" fillId="0" borderId="0" xfId="0" applyNumberFormat="1" applyFont="1"/>
    <xf numFmtId="2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2">
    <dxf>
      <font>
        <color rgb="FF385723"/>
      </font>
      <fill>
        <patternFill patternType="solid">
          <fgColor indexed="64"/>
          <bgColor rgb="FFE2EFDA"/>
        </patternFill>
      </fill>
    </dxf>
    <dxf>
      <font>
        <color rgb="FFC00000"/>
      </font>
      <fill>
        <patternFill patternType="solid">
          <fgColor indexed="64"/>
          <bgColor rgb="FFFFE5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 Stack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Dashboard!$E$20:$E$23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0-7441-BF49-79B2B67DD80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Dashboard!$F$20:$F$23</c:f>
              <c:numCache>
                <c:formatCode>"$"#,##0</c:formatCode>
                <c:ptCount val="4"/>
                <c:pt idx="0">
                  <c:v>4936116</c:v>
                </c:pt>
                <c:pt idx="1">
                  <c:v>6170145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70-7441-BF49-79B2B67DD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NCF Distributions: Landowner vs NFP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 Forma'!$A$18</c:f>
              <c:strCache>
                <c:ptCount val="1"/>
                <c:pt idx="0">
                  <c:v>Year (chart label)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'Pro Forma'!$B$18:$U$18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4-BF4B-B373-D8910CB583DA}"/>
            </c:ext>
          </c:extLst>
        </c:ser>
        <c:ser>
          <c:idx val="1"/>
          <c:order val="1"/>
          <c:tx>
            <c:strRef>
              <c:f>'Pro Forma'!$A$19</c:f>
              <c:strCache>
                <c:ptCount val="1"/>
                <c:pt idx="0">
                  <c:v>Landowner Distribution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'Pro Forma'!$B$19:$U$19</c:f>
              <c:numCache>
                <c:formatCode>"$"#,##0</c:formatCode>
                <c:ptCount val="20"/>
                <c:pt idx="0">
                  <c:v>106497.91611161908</c:v>
                </c:pt>
                <c:pt idx="1">
                  <c:v>112233.25611161909</c:v>
                </c:pt>
                <c:pt idx="2">
                  <c:v>118083.30291161907</c:v>
                </c:pt>
                <c:pt idx="3">
                  <c:v>124050.35064761907</c:v>
                </c:pt>
                <c:pt idx="4">
                  <c:v>130136.73933833907</c:v>
                </c:pt>
                <c:pt idx="5">
                  <c:v>136344.85580287344</c:v>
                </c:pt>
                <c:pt idx="6">
                  <c:v>142677.13459669854</c:v>
                </c:pt>
                <c:pt idx="7">
                  <c:v>149136.05896640016</c:v>
                </c:pt>
                <c:pt idx="8">
                  <c:v>155724.16182349582</c:v>
                </c:pt>
                <c:pt idx="9">
                  <c:v>162444.02673773331</c:v>
                </c:pt>
                <c:pt idx="10">
                  <c:v>169298.28895025558</c:v>
                </c:pt>
                <c:pt idx="11">
                  <c:v>176289.63640702827</c:v>
                </c:pt>
                <c:pt idx="12">
                  <c:v>183420.81081293648</c:v>
                </c:pt>
                <c:pt idx="13">
                  <c:v>190694.60870696287</c:v>
                </c:pt>
                <c:pt idx="14">
                  <c:v>198113.88255886978</c:v>
                </c:pt>
                <c:pt idx="15">
                  <c:v>205681.54188781479</c:v>
                </c:pt>
                <c:pt idx="16">
                  <c:v>213400.55440333873</c:v>
                </c:pt>
                <c:pt idx="17">
                  <c:v>221273.94716917313</c:v>
                </c:pt>
                <c:pt idx="18">
                  <c:v>229304.80779032424</c:v>
                </c:pt>
                <c:pt idx="19">
                  <c:v>237496.28562389829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04-BF4B-B373-D8910CB583DA}"/>
            </c:ext>
          </c:extLst>
        </c:ser>
        <c:ser>
          <c:idx val="2"/>
          <c:order val="2"/>
          <c:tx>
            <c:strRef>
              <c:f>'Pro Forma'!$A$20</c:f>
              <c:strCache>
                <c:ptCount val="1"/>
                <c:pt idx="0">
                  <c:v>NFP Distribution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'Pro Forma'!$B$20:$U$20</c:f>
              <c:numCache>
                <c:formatCode>"$"#,##0</c:formatCode>
                <c:ptCount val="20"/>
                <c:pt idx="0">
                  <c:v>70998.610741079392</c:v>
                </c:pt>
                <c:pt idx="1">
                  <c:v>74822.170741079404</c:v>
                </c:pt>
                <c:pt idx="2">
                  <c:v>78722.201941079402</c:v>
                </c:pt>
                <c:pt idx="3">
                  <c:v>82700.233765079392</c:v>
                </c:pt>
                <c:pt idx="4">
                  <c:v>86757.826225559402</c:v>
                </c:pt>
                <c:pt idx="5">
                  <c:v>90896.57053524896</c:v>
                </c:pt>
                <c:pt idx="6">
                  <c:v>95118.089731132364</c:v>
                </c:pt>
                <c:pt idx="7">
                  <c:v>99424.03931093344</c:v>
                </c:pt>
                <c:pt idx="8">
                  <c:v>103816.10788233054</c:v>
                </c:pt>
                <c:pt idx="9">
                  <c:v>108296.01782515555</c:v>
                </c:pt>
                <c:pt idx="10">
                  <c:v>112865.52596683706</c:v>
                </c:pt>
                <c:pt idx="11">
                  <c:v>117526.4242713522</c:v>
                </c:pt>
                <c:pt idx="12">
                  <c:v>122280.54054195767</c:v>
                </c:pt>
                <c:pt idx="13">
                  <c:v>127129.73913797525</c:v>
                </c:pt>
                <c:pt idx="14">
                  <c:v>132075.92170591321</c:v>
                </c:pt>
                <c:pt idx="15">
                  <c:v>137121.02792520987</c:v>
                </c:pt>
                <c:pt idx="16">
                  <c:v>142267.03626889249</c:v>
                </c:pt>
                <c:pt idx="17">
                  <c:v>147515.96477944878</c:v>
                </c:pt>
                <c:pt idx="18">
                  <c:v>152869.87186021617</c:v>
                </c:pt>
                <c:pt idx="19">
                  <c:v>158330.85708259887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04-BF4B-B373-D8910CB58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9514688"/>
        <c:axId val="1419516928"/>
      </c:barChart>
      <c:catAx>
        <c:axId val="1419514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516928"/>
        <c:crosses val="autoZero"/>
        <c:auto val="1"/>
        <c:lblAlgn val="ctr"/>
        <c:lblOffset val="100"/>
        <c:noMultiLvlLbl val="0"/>
      </c:catAx>
      <c:valAx>
        <c:axId val="141951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Distribution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51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NCF Distributions: Landowner vs NFP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 Forma'!$A$18</c:f>
              <c:strCache>
                <c:ptCount val="1"/>
                <c:pt idx="0">
                  <c:v>Year (chart label)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'Pro Forma'!$B$18:$U$18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F-554C-BB88-BBA3F4CBA7FB}"/>
            </c:ext>
          </c:extLst>
        </c:ser>
        <c:ser>
          <c:idx val="1"/>
          <c:order val="1"/>
          <c:tx>
            <c:strRef>
              <c:f>'Pro Forma'!$A$19</c:f>
              <c:strCache>
                <c:ptCount val="1"/>
                <c:pt idx="0">
                  <c:v>Landowner Distribution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'Pro Forma'!$B$19:$U$19</c:f>
              <c:numCache>
                <c:formatCode>"$"#,##0</c:formatCode>
                <c:ptCount val="20"/>
                <c:pt idx="0">
                  <c:v>106497.91611161908</c:v>
                </c:pt>
                <c:pt idx="1">
                  <c:v>112233.25611161909</c:v>
                </c:pt>
                <c:pt idx="2">
                  <c:v>118083.30291161907</c:v>
                </c:pt>
                <c:pt idx="3">
                  <c:v>124050.35064761907</c:v>
                </c:pt>
                <c:pt idx="4">
                  <c:v>130136.73933833907</c:v>
                </c:pt>
                <c:pt idx="5">
                  <c:v>136344.85580287344</c:v>
                </c:pt>
                <c:pt idx="6">
                  <c:v>142677.13459669854</c:v>
                </c:pt>
                <c:pt idx="7">
                  <c:v>149136.05896640016</c:v>
                </c:pt>
                <c:pt idx="8">
                  <c:v>155724.16182349582</c:v>
                </c:pt>
                <c:pt idx="9">
                  <c:v>162444.02673773331</c:v>
                </c:pt>
                <c:pt idx="10">
                  <c:v>169298.28895025558</c:v>
                </c:pt>
                <c:pt idx="11">
                  <c:v>176289.63640702827</c:v>
                </c:pt>
                <c:pt idx="12">
                  <c:v>183420.81081293648</c:v>
                </c:pt>
                <c:pt idx="13">
                  <c:v>190694.60870696287</c:v>
                </c:pt>
                <c:pt idx="14">
                  <c:v>198113.88255886978</c:v>
                </c:pt>
                <c:pt idx="15">
                  <c:v>205681.54188781479</c:v>
                </c:pt>
                <c:pt idx="16">
                  <c:v>213400.55440333873</c:v>
                </c:pt>
                <c:pt idx="17">
                  <c:v>221273.94716917313</c:v>
                </c:pt>
                <c:pt idx="18">
                  <c:v>229304.80779032424</c:v>
                </c:pt>
                <c:pt idx="19">
                  <c:v>237496.28562389829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9F-554C-BB88-BBA3F4CBA7FB}"/>
            </c:ext>
          </c:extLst>
        </c:ser>
        <c:ser>
          <c:idx val="2"/>
          <c:order val="2"/>
          <c:tx>
            <c:strRef>
              <c:f>'Pro Forma'!$A$20</c:f>
              <c:strCache>
                <c:ptCount val="1"/>
                <c:pt idx="0">
                  <c:v>NFP Distribution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'Pro Forma'!$B$20:$U$20</c:f>
              <c:numCache>
                <c:formatCode>"$"#,##0</c:formatCode>
                <c:ptCount val="20"/>
                <c:pt idx="0">
                  <c:v>70998.610741079392</c:v>
                </c:pt>
                <c:pt idx="1">
                  <c:v>74822.170741079404</c:v>
                </c:pt>
                <c:pt idx="2">
                  <c:v>78722.201941079402</c:v>
                </c:pt>
                <c:pt idx="3">
                  <c:v>82700.233765079392</c:v>
                </c:pt>
                <c:pt idx="4">
                  <c:v>86757.826225559402</c:v>
                </c:pt>
                <c:pt idx="5">
                  <c:v>90896.57053524896</c:v>
                </c:pt>
                <c:pt idx="6">
                  <c:v>95118.089731132364</c:v>
                </c:pt>
                <c:pt idx="7">
                  <c:v>99424.03931093344</c:v>
                </c:pt>
                <c:pt idx="8">
                  <c:v>103816.10788233054</c:v>
                </c:pt>
                <c:pt idx="9">
                  <c:v>108296.01782515555</c:v>
                </c:pt>
                <c:pt idx="10">
                  <c:v>112865.52596683706</c:v>
                </c:pt>
                <c:pt idx="11">
                  <c:v>117526.4242713522</c:v>
                </c:pt>
                <c:pt idx="12">
                  <c:v>122280.54054195767</c:v>
                </c:pt>
                <c:pt idx="13">
                  <c:v>127129.73913797525</c:v>
                </c:pt>
                <c:pt idx="14">
                  <c:v>132075.92170591321</c:v>
                </c:pt>
                <c:pt idx="15">
                  <c:v>137121.02792520987</c:v>
                </c:pt>
                <c:pt idx="16">
                  <c:v>142267.03626889249</c:v>
                </c:pt>
                <c:pt idx="17">
                  <c:v>147515.96477944878</c:v>
                </c:pt>
                <c:pt idx="18">
                  <c:v>152869.87186021617</c:v>
                </c:pt>
                <c:pt idx="19">
                  <c:v>158330.85708259887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9F-554C-BB88-BBA3F4CBA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0357312"/>
        <c:axId val="1419509760"/>
      </c:barChart>
      <c:catAx>
        <c:axId val="1490357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509760"/>
        <c:crosses val="autoZero"/>
        <c:auto val="1"/>
        <c:lblAlgn val="ctr"/>
        <c:lblOffset val="100"/>
        <c:noMultiLvlLbl val="0"/>
      </c:catAx>
      <c:valAx>
        <c:axId val="141950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5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Landowner Income (20 Years)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 Forma'!$A$25</c:f>
              <c:strCache>
                <c:ptCount val="1"/>
                <c:pt idx="0">
                  <c:v>Year (chart)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 Forma'!$B$25:$U$25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1D-7142-BD99-46E4CDBE8808}"/>
            </c:ext>
          </c:extLst>
        </c:ser>
        <c:ser>
          <c:idx val="1"/>
          <c:order val="1"/>
          <c:tx>
            <c:strRef>
              <c:f>'Pro Forma'!$A$26</c:f>
              <c:strCache>
                <c:ptCount val="1"/>
                <c:pt idx="0">
                  <c:v>Cumulative Landowner 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 Forma'!$B$26:$U$26</c:f>
              <c:numCache>
                <c:formatCode>General</c:formatCode>
                <c:ptCount val="20"/>
                <c:pt idx="0">
                  <c:v>106497.91611161908</c:v>
                </c:pt>
                <c:pt idx="1">
                  <c:v>218731.17222323816</c:v>
                </c:pt>
                <c:pt idx="2">
                  <c:v>336814.47513485723</c:v>
                </c:pt>
                <c:pt idx="3">
                  <c:v>460864.82578247628</c:v>
                </c:pt>
                <c:pt idx="4">
                  <c:v>591001.5651208153</c:v>
                </c:pt>
                <c:pt idx="5">
                  <c:v>727346.42092368868</c:v>
                </c:pt>
                <c:pt idx="6">
                  <c:v>870023.55552038725</c:v>
                </c:pt>
                <c:pt idx="7">
                  <c:v>1019159.6144867875</c:v>
                </c:pt>
                <c:pt idx="8">
                  <c:v>1174883.7763102832</c:v>
                </c:pt>
                <c:pt idx="9">
                  <c:v>1337327.8030480165</c:v>
                </c:pt>
                <c:pt idx="10">
                  <c:v>1506626.0919982721</c:v>
                </c:pt>
                <c:pt idx="11">
                  <c:v>1682915.7284053003</c:v>
                </c:pt>
                <c:pt idx="12">
                  <c:v>1866336.5392182367</c:v>
                </c:pt>
                <c:pt idx="13">
                  <c:v>2057031.1479251995</c:v>
                </c:pt>
                <c:pt idx="14">
                  <c:v>2255145.0304840691</c:v>
                </c:pt>
                <c:pt idx="15">
                  <c:v>2460826.5723718838</c:v>
                </c:pt>
                <c:pt idx="16">
                  <c:v>2674227.1267752224</c:v>
                </c:pt>
                <c:pt idx="17">
                  <c:v>2895501.0739443954</c:v>
                </c:pt>
                <c:pt idx="18">
                  <c:v>3124805.8817347195</c:v>
                </c:pt>
                <c:pt idx="19">
                  <c:v>3362302.1673586178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1D-7142-BD99-46E4CDBE8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0475264"/>
        <c:axId val="1421198656"/>
      </c:lineChart>
      <c:catAx>
        <c:axId val="1420475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198656"/>
        <c:crosses val="autoZero"/>
        <c:auto val="1"/>
        <c:lblAlgn val="ctr"/>
        <c:lblOffset val="100"/>
        <c:noMultiLvlLbl val="0"/>
      </c:catAx>
      <c:valAx>
        <c:axId val="142119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47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DSCR by Year (Threshold: 1.10x)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 Forma'!$A$28</c:f>
              <c:strCache>
                <c:ptCount val="1"/>
                <c:pt idx="0">
                  <c:v>Year (chart)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 Forma'!$B$28:$U$28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F-374A-A2AA-E1FC16BBAAF5}"/>
            </c:ext>
          </c:extLst>
        </c:ser>
        <c:ser>
          <c:idx val="1"/>
          <c:order val="1"/>
          <c:tx>
            <c:strRef>
              <c:f>'Pro Forma'!$A$29</c:f>
              <c:strCache>
                <c:ptCount val="1"/>
                <c:pt idx="0">
                  <c:v>DSCR by Year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 Forma'!$B$29:$U$29</c:f>
              <c:numCache>
                <c:formatCode>0.00</c:formatCode>
                <c:ptCount val="20"/>
                <c:pt idx="0">
                  <c:v>1.5907719383405781</c:v>
                </c:pt>
                <c:pt idx="1">
                  <c:v>1.6225873771073898</c:v>
                </c:pt>
                <c:pt idx="2">
                  <c:v>1.6550391246495375</c:v>
                </c:pt>
                <c:pt idx="3">
                  <c:v>1.6881399071425283</c:v>
                </c:pt>
                <c:pt idx="4">
                  <c:v>1.7219027052853788</c:v>
                </c:pt>
                <c:pt idx="5">
                  <c:v>1.7563407593910862</c:v>
                </c:pt>
                <c:pt idx="6">
                  <c:v>1.7914675745789079</c:v>
                </c:pt>
                <c:pt idx="7">
                  <c:v>1.8272969260704863</c:v>
                </c:pt>
                <c:pt idx="8">
                  <c:v>1.8638428645918963</c:v>
                </c:pt>
                <c:pt idx="9">
                  <c:v>1.9011197218837339</c:v>
                </c:pt>
                <c:pt idx="10">
                  <c:v>1.9391421163214084</c:v>
                </c:pt>
                <c:pt idx="11">
                  <c:v>1.9779249586478367</c:v>
                </c:pt>
                <c:pt idx="12">
                  <c:v>2.0174834578207936</c:v>
                </c:pt>
                <c:pt idx="13">
                  <c:v>2.0578331269772092</c:v>
                </c:pt>
                <c:pt idx="14">
                  <c:v>2.0989897895167537</c:v>
                </c:pt>
                <c:pt idx="15">
                  <c:v>2.1409695853070887</c:v>
                </c:pt>
                <c:pt idx="16">
                  <c:v>2.1837889770132306</c:v>
                </c:pt>
                <c:pt idx="17">
                  <c:v>2.2274647565534957</c:v>
                </c:pt>
                <c:pt idx="18">
                  <c:v>2.2720140516845655</c:v>
                </c:pt>
                <c:pt idx="19">
                  <c:v>2.3174543327182566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5F-374A-A2AA-E1FC16BBAAF5}"/>
            </c:ext>
          </c:extLst>
        </c:ser>
        <c:ser>
          <c:idx val="2"/>
          <c:order val="2"/>
          <c:tx>
            <c:strRef>
              <c:f>'Pro Forma'!$A$30</c:f>
              <c:strCache>
                <c:ptCount val="1"/>
                <c:pt idx="0">
                  <c:v>1.10x Threshold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'Pro Forma'!$B$30:$U$30</c:f>
              <c:numCache>
                <c:formatCode>0.00</c:formatCode>
                <c:ptCount val="20"/>
                <c:pt idx="0">
                  <c:v>1.1000000000000001</c:v>
                </c:pt>
                <c:pt idx="1">
                  <c:v>1.1000000000000001</c:v>
                </c:pt>
                <c:pt idx="2">
                  <c:v>1.1000000000000001</c:v>
                </c:pt>
                <c:pt idx="3">
                  <c:v>1.1000000000000001</c:v>
                </c:pt>
                <c:pt idx="4">
                  <c:v>1.1000000000000001</c:v>
                </c:pt>
                <c:pt idx="5">
                  <c:v>1.1000000000000001</c:v>
                </c:pt>
                <c:pt idx="6">
                  <c:v>1.1000000000000001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1.1000000000000001</c:v>
                </c:pt>
                <c:pt idx="10">
                  <c:v>1.1000000000000001</c:v>
                </c:pt>
                <c:pt idx="11">
                  <c:v>1.1000000000000001</c:v>
                </c:pt>
                <c:pt idx="12">
                  <c:v>1.1000000000000001</c:v>
                </c:pt>
                <c:pt idx="13">
                  <c:v>1.1000000000000001</c:v>
                </c:pt>
                <c:pt idx="14">
                  <c:v>1.1000000000000001</c:v>
                </c:pt>
                <c:pt idx="15">
                  <c:v>1.1000000000000001</c:v>
                </c:pt>
                <c:pt idx="16">
                  <c:v>1.1000000000000001</c:v>
                </c:pt>
                <c:pt idx="17">
                  <c:v>1.1000000000000001</c:v>
                </c:pt>
                <c:pt idx="18">
                  <c:v>1.1000000000000001</c:v>
                </c:pt>
                <c:pt idx="19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5F-374A-A2AA-E1FC16BBA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0628800"/>
        <c:axId val="1420630592"/>
      </c:lineChart>
      <c:catAx>
        <c:axId val="1420628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630592"/>
        <c:crosses val="autoZero"/>
        <c:auto val="1"/>
        <c:lblAlgn val="ctr"/>
        <c:lblOffset val="100"/>
        <c:noMultiLvlLbl val="0"/>
      </c:catAx>
      <c:valAx>
        <c:axId val="142063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62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0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41DB4D-55A5-7622-8048-C5089A677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3EA5DA-BF03-8CDF-01C3-4F3993B50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8DF89A-30D5-CA21-6FA5-130C7D75B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0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6DD85E-3BB0-40E1-27BD-1AA981B4E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12</xdr:row>
      <xdr:rowOff>0</xdr:rowOff>
    </xdr:from>
    <xdr:to>
      <xdr:col>18</xdr:col>
      <xdr:colOff>0</xdr:colOff>
      <xdr:row>27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394549-C14E-C914-57DF-857A94C29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E0D141A-AF3D-7646-B0DF-F783AA843E7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e92ba18-b45e-4d2b-9d86-b679bf452cf1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A147-EC1E-164D-A9A0-C62BB48E1289}">
  <dimension ref="A1:F5"/>
  <sheetViews>
    <sheetView workbookViewId="0"/>
  </sheetViews>
  <sheetFormatPr baseColWidth="10" defaultRowHeight="15" x14ac:dyDescent="0.2"/>
  <cols>
    <col min="1" max="1" width="8.33203125" customWidth="1"/>
    <col min="2" max="2" width="12.5" customWidth="1"/>
    <col min="3" max="6" width="40" customWidth="1"/>
  </cols>
  <sheetData>
    <row r="1" spans="1:6" x14ac:dyDescent="0.2">
      <c r="A1" s="37" t="s">
        <v>129</v>
      </c>
      <c r="B1" s="37" t="s">
        <v>130</v>
      </c>
      <c r="C1" s="37" t="s">
        <v>131</v>
      </c>
      <c r="D1" s="37" t="s">
        <v>132</v>
      </c>
      <c r="E1" s="37" t="s">
        <v>133</v>
      </c>
      <c r="F1" s="37" t="s">
        <v>134</v>
      </c>
    </row>
    <row r="2" spans="1:6" x14ac:dyDescent="0.2">
      <c r="A2">
        <v>1</v>
      </c>
      <c r="B2" s="38">
        <v>46149</v>
      </c>
      <c r="C2" t="s">
        <v>135</v>
      </c>
      <c r="D2" t="s">
        <v>136</v>
      </c>
      <c r="E2" t="s">
        <v>137</v>
      </c>
      <c r="F2" t="s">
        <v>138</v>
      </c>
    </row>
    <row r="3" spans="1:6" x14ac:dyDescent="0.2">
      <c r="A3">
        <v>2</v>
      </c>
      <c r="B3" s="38">
        <v>46149</v>
      </c>
      <c r="C3" t="s">
        <v>150</v>
      </c>
      <c r="D3" t="s">
        <v>151</v>
      </c>
      <c r="E3" t="s">
        <v>152</v>
      </c>
      <c r="F3" t="s">
        <v>153</v>
      </c>
    </row>
    <row r="4" spans="1:6" x14ac:dyDescent="0.2">
      <c r="A4">
        <v>3</v>
      </c>
      <c r="B4" s="38">
        <v>46149</v>
      </c>
      <c r="C4" t="s">
        <v>154</v>
      </c>
      <c r="D4" t="s">
        <v>155</v>
      </c>
      <c r="E4" t="s">
        <v>156</v>
      </c>
      <c r="F4" t="s">
        <v>157</v>
      </c>
    </row>
    <row r="5" spans="1:6" x14ac:dyDescent="0.2">
      <c r="A5">
        <v>4</v>
      </c>
      <c r="B5" s="38">
        <v>46149</v>
      </c>
      <c r="C5" t="s">
        <v>189</v>
      </c>
      <c r="D5" t="s">
        <v>190</v>
      </c>
      <c r="E5" t="s">
        <v>191</v>
      </c>
      <c r="F5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selection sqref="A1:G1"/>
    </sheetView>
  </sheetViews>
  <sheetFormatPr baseColWidth="10" defaultColWidth="8.83203125" defaultRowHeight="15" x14ac:dyDescent="0.2"/>
  <cols>
    <col min="1" max="1" width="38" customWidth="1"/>
    <col min="2" max="2" width="14" customWidth="1"/>
    <col min="3" max="3" width="16" customWidth="1"/>
    <col min="4" max="7" width="12" customWidth="1"/>
  </cols>
  <sheetData>
    <row r="1" spans="1:7" ht="32" customHeight="1" x14ac:dyDescent="0.2">
      <c r="A1" s="26" t="s">
        <v>0</v>
      </c>
      <c r="B1" s="21"/>
      <c r="C1" s="21"/>
      <c r="D1" s="21"/>
      <c r="E1" s="21"/>
      <c r="F1" s="21"/>
      <c r="G1" s="21"/>
    </row>
    <row r="2" spans="1:7" ht="22" customHeight="1" x14ac:dyDescent="0.2">
      <c r="A2" s="28" t="s">
        <v>1</v>
      </c>
      <c r="B2" s="21"/>
      <c r="C2" s="21"/>
      <c r="D2" s="21"/>
      <c r="E2" s="21"/>
      <c r="F2" s="21"/>
      <c r="G2" s="21"/>
    </row>
    <row r="4" spans="1:7" x14ac:dyDescent="0.2">
      <c r="A4" s="23" t="s">
        <v>2</v>
      </c>
      <c r="B4" s="21"/>
      <c r="C4" s="21"/>
      <c r="D4" s="21"/>
      <c r="E4" s="21"/>
      <c r="F4" s="21"/>
      <c r="G4" s="21"/>
    </row>
    <row r="5" spans="1:7" x14ac:dyDescent="0.2">
      <c r="A5" s="1" t="s">
        <v>3</v>
      </c>
      <c r="B5" s="60">
        <f>Assumptions!B8</f>
        <v>12340290</v>
      </c>
      <c r="C5" s="21"/>
      <c r="D5" s="21"/>
      <c r="E5" s="21"/>
      <c r="F5" s="21"/>
      <c r="G5" s="21"/>
    </row>
    <row r="6" spans="1:7" x14ac:dyDescent="0.2">
      <c r="A6" s="1" t="s">
        <v>4</v>
      </c>
      <c r="B6" s="60">
        <f>Assumptions!B12</f>
        <v>2000000</v>
      </c>
      <c r="C6" s="21"/>
      <c r="D6" s="21"/>
      <c r="E6" s="21"/>
      <c r="F6" s="21"/>
      <c r="G6" s="21"/>
    </row>
    <row r="7" spans="1:7" x14ac:dyDescent="0.2">
      <c r="A7" s="1" t="s">
        <v>5</v>
      </c>
      <c r="B7" s="61">
        <f>Assumptions!B6</f>
        <v>30</v>
      </c>
      <c r="C7" s="21"/>
      <c r="D7" s="21"/>
      <c r="E7" s="21"/>
      <c r="F7" s="21"/>
      <c r="G7" s="21"/>
    </row>
    <row r="8" spans="1:7" x14ac:dyDescent="0.2">
      <c r="A8" s="1" t="s">
        <v>6</v>
      </c>
      <c r="B8" s="60">
        <f>Assumptions!B7</f>
        <v>411343</v>
      </c>
      <c r="C8" s="21"/>
      <c r="D8" s="21"/>
      <c r="E8" s="21"/>
      <c r="F8" s="21"/>
      <c r="G8" s="21"/>
    </row>
    <row r="9" spans="1:7" x14ac:dyDescent="0.2">
      <c r="A9" s="1" t="s">
        <v>7</v>
      </c>
      <c r="B9" s="62">
        <f>Assumptions!B13</f>
        <v>1400000</v>
      </c>
      <c r="C9" s="21"/>
      <c r="D9" s="21"/>
      <c r="E9" s="21"/>
      <c r="F9" s="21"/>
      <c r="G9" s="21"/>
    </row>
    <row r="10" spans="1:7" x14ac:dyDescent="0.2">
      <c r="A10" s="1" t="s">
        <v>8</v>
      </c>
      <c r="B10" s="62">
        <f>Assumptions!B8*Assumptions!B29</f>
        <v>599738.09399999992</v>
      </c>
      <c r="C10" s="21"/>
      <c r="D10" s="21"/>
      <c r="E10" s="21"/>
      <c r="F10" s="21"/>
      <c r="G10" s="21"/>
    </row>
    <row r="11" spans="1:7" x14ac:dyDescent="0.2">
      <c r="A11" s="1" t="s">
        <v>9</v>
      </c>
      <c r="B11" s="62">
        <f>Assumptions!B15</f>
        <v>600000</v>
      </c>
      <c r="C11" s="21"/>
      <c r="D11" s="21"/>
      <c r="E11" s="21"/>
      <c r="F11" s="21"/>
      <c r="G11" s="21"/>
    </row>
    <row r="12" spans="1:7" x14ac:dyDescent="0.2">
      <c r="A12" s="1" t="s">
        <v>10</v>
      </c>
      <c r="B12" s="60">
        <f>'Pro Forma'!B8</f>
        <v>477945</v>
      </c>
      <c r="C12" s="21"/>
      <c r="D12" s="21"/>
      <c r="E12" s="21"/>
      <c r="F12" s="21"/>
      <c r="G12" s="21"/>
    </row>
    <row r="13" spans="1:7" x14ac:dyDescent="0.2">
      <c r="A13" s="1" t="s">
        <v>11</v>
      </c>
      <c r="B13" s="60">
        <f>'Pro Forma'!B9</f>
        <v>300448.47314730153</v>
      </c>
      <c r="C13" s="21"/>
      <c r="D13" s="21"/>
      <c r="E13" s="21"/>
      <c r="F13" s="21"/>
      <c r="G13" s="21"/>
    </row>
    <row r="14" spans="1:7" x14ac:dyDescent="0.2">
      <c r="A14" s="1" t="s">
        <v>12</v>
      </c>
      <c r="B14" s="60">
        <f>'Pro Forma'!B10</f>
        <v>177496.52685269847</v>
      </c>
      <c r="C14" s="21"/>
      <c r="D14" s="21"/>
      <c r="E14" s="21"/>
      <c r="F14" s="21"/>
      <c r="G14" s="21"/>
    </row>
    <row r="15" spans="1:7" x14ac:dyDescent="0.2">
      <c r="A15" s="1" t="s">
        <v>13</v>
      </c>
      <c r="B15" s="63">
        <f>'Pro Forma'!B8/'Pro Forma'!B9</f>
        <v>1.5907719383405781</v>
      </c>
      <c r="C15" s="21"/>
      <c r="D15" s="21"/>
      <c r="E15" s="21"/>
      <c r="F15" s="21"/>
      <c r="G15" s="21"/>
    </row>
    <row r="16" spans="1:7" x14ac:dyDescent="0.2">
      <c r="A16" s="1" t="s">
        <v>14</v>
      </c>
      <c r="B16" s="64">
        <f>Assumptions!B27</f>
        <v>0.5</v>
      </c>
      <c r="C16" s="21"/>
      <c r="D16" s="21"/>
      <c r="E16" s="21"/>
      <c r="F16" s="21"/>
      <c r="G16" s="21"/>
    </row>
    <row r="17" spans="1:7" x14ac:dyDescent="0.2">
      <c r="A17" s="1" t="s">
        <v>15</v>
      </c>
      <c r="B17" s="64">
        <f>('Pro Forma'!B7+'Pro Forma'!B9)/'Pro Forma'!B4</f>
        <v>0.72067632189573838</v>
      </c>
      <c r="C17" s="21"/>
      <c r="D17" s="21"/>
      <c r="E17" s="21"/>
      <c r="F17" s="21"/>
      <c r="G17" s="21"/>
    </row>
    <row r="18" spans="1:7" x14ac:dyDescent="0.2">
      <c r="A18" s="1" t="s">
        <v>16</v>
      </c>
      <c r="B18" s="62">
        <f>'Pro Forma'!V12</f>
        <v>3362302.1673586178</v>
      </c>
      <c r="C18" s="21"/>
      <c r="D18" s="21"/>
      <c r="E18" s="21"/>
      <c r="F18" s="21"/>
      <c r="G18" s="21"/>
    </row>
    <row r="19" spans="1:7" x14ac:dyDescent="0.2">
      <c r="A19" s="1" t="s">
        <v>17</v>
      </c>
      <c r="B19" s="62">
        <f>B9+B18+B11</f>
        <v>5362302.1673586182</v>
      </c>
      <c r="C19" s="21"/>
      <c r="D19" s="21"/>
      <c r="E19" s="21"/>
      <c r="F19" s="21"/>
      <c r="G19" s="21"/>
    </row>
    <row r="20" spans="1:7" x14ac:dyDescent="0.2">
      <c r="A20" s="1" t="s">
        <v>162</v>
      </c>
      <c r="B20" s="88">
        <f>'Landowner Waterfall'!B28</f>
        <v>0.22035623058912335</v>
      </c>
      <c r="E20" t="s">
        <v>23</v>
      </c>
      <c r="F20" s="86">
        <f>C24</f>
        <v>4936116</v>
      </c>
    </row>
    <row r="21" spans="1:7" x14ac:dyDescent="0.2">
      <c r="A21" s="1" t="s">
        <v>166</v>
      </c>
      <c r="B21" s="89">
        <f>'Landowner Waterfall'!B29</f>
        <v>2.6811510836793091</v>
      </c>
      <c r="E21" t="s">
        <v>25</v>
      </c>
      <c r="F21" s="86">
        <f>C25</f>
        <v>6170145</v>
      </c>
    </row>
    <row r="22" spans="1:7" x14ac:dyDescent="0.2">
      <c r="A22" s="24" t="s">
        <v>18</v>
      </c>
      <c r="B22" s="21"/>
      <c r="C22" s="21"/>
      <c r="D22" s="21"/>
      <c r="E22" s="21"/>
      <c r="F22" s="102"/>
      <c r="G22" s="21"/>
    </row>
    <row r="23" spans="1:7" x14ac:dyDescent="0.2">
      <c r="A23" s="2" t="s">
        <v>19</v>
      </c>
      <c r="B23" s="2" t="s">
        <v>20</v>
      </c>
      <c r="C23" s="2" t="s">
        <v>21</v>
      </c>
      <c r="D23" s="27" t="s">
        <v>22</v>
      </c>
      <c r="E23" s="21"/>
      <c r="F23" s="102"/>
      <c r="G23" s="21"/>
    </row>
    <row r="24" spans="1:7" x14ac:dyDescent="0.2">
      <c r="A24" s="3" t="s">
        <v>23</v>
      </c>
      <c r="B24" s="65">
        <f>Assumptions!B26</f>
        <v>0.4</v>
      </c>
      <c r="C24" s="66">
        <f>B24*$B$5</f>
        <v>4936116</v>
      </c>
      <c r="D24" s="22" t="s">
        <v>24</v>
      </c>
      <c r="E24" s="21"/>
      <c r="F24" s="21"/>
      <c r="G24" s="21"/>
    </row>
    <row r="25" spans="1:7" x14ac:dyDescent="0.2">
      <c r="A25" s="3" t="s">
        <v>25</v>
      </c>
      <c r="B25" s="65">
        <f>Assumptions!B27</f>
        <v>0.5</v>
      </c>
      <c r="C25" s="66">
        <f>B25*$B$5</f>
        <v>6170145</v>
      </c>
      <c r="D25" s="22" t="s">
        <v>26</v>
      </c>
      <c r="E25" s="21"/>
      <c r="F25" s="21"/>
      <c r="G25" s="21"/>
    </row>
    <row r="26" spans="1:7" x14ac:dyDescent="0.2">
      <c r="A26" s="3" t="s">
        <v>27</v>
      </c>
      <c r="B26" s="65">
        <f>Assumptions!B28</f>
        <v>5.1400000000000001E-2</v>
      </c>
      <c r="C26" s="66">
        <f>B26*$B$5</f>
        <v>634290.90599999996</v>
      </c>
      <c r="D26" s="22" t="s">
        <v>28</v>
      </c>
      <c r="E26" s="21"/>
      <c r="F26" s="21"/>
      <c r="G26" s="21"/>
    </row>
    <row r="27" spans="1:7" x14ac:dyDescent="0.2">
      <c r="A27" s="3" t="s">
        <v>29</v>
      </c>
      <c r="B27" s="65">
        <f>Assumptions!B29</f>
        <v>4.8599999999999997E-2</v>
      </c>
      <c r="C27" s="66">
        <f>B27*$B$5</f>
        <v>599738.09399999992</v>
      </c>
      <c r="D27" s="22" t="s">
        <v>30</v>
      </c>
      <c r="E27" s="21"/>
      <c r="F27" s="21"/>
      <c r="G27" s="21"/>
    </row>
    <row r="28" spans="1:7" x14ac:dyDescent="0.2">
      <c r="A28" s="4" t="s">
        <v>31</v>
      </c>
      <c r="B28" s="67">
        <f>SUM(B24:B27)</f>
        <v>1</v>
      </c>
      <c r="C28" s="68">
        <f>SUM(C24:C27)</f>
        <v>12340290</v>
      </c>
      <c r="D28" s="25"/>
      <c r="E28" s="21"/>
      <c r="F28" s="21"/>
      <c r="G28" s="21"/>
    </row>
  </sheetData>
  <mergeCells count="25">
    <mergeCell ref="A1:G1"/>
    <mergeCell ref="B5:G5"/>
    <mergeCell ref="D23:G23"/>
    <mergeCell ref="B7:G7"/>
    <mergeCell ref="B16:G16"/>
    <mergeCell ref="A2:G2"/>
    <mergeCell ref="B12:G12"/>
    <mergeCell ref="B18:G18"/>
    <mergeCell ref="B11:G11"/>
    <mergeCell ref="D28:G28"/>
    <mergeCell ref="B9:G9"/>
    <mergeCell ref="B15:G15"/>
    <mergeCell ref="B6:G6"/>
    <mergeCell ref="D24:G24"/>
    <mergeCell ref="B14:G14"/>
    <mergeCell ref="D27:G27"/>
    <mergeCell ref="B17:G17"/>
    <mergeCell ref="A4:G4"/>
    <mergeCell ref="B8:G8"/>
    <mergeCell ref="A22:G22"/>
    <mergeCell ref="D26:G26"/>
    <mergeCell ref="B13:G13"/>
    <mergeCell ref="B19:G19"/>
    <mergeCell ref="D25:G25"/>
    <mergeCell ref="B10:G1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40" customWidth="1"/>
    <col min="2" max="2" width="21.6640625" customWidth="1"/>
    <col min="3" max="3" width="12" customWidth="1"/>
    <col min="4" max="4" width="33.33203125" customWidth="1"/>
    <col min="5" max="5" width="21.6640625" customWidth="1"/>
  </cols>
  <sheetData>
    <row r="1" spans="1:7" ht="28" customHeight="1" x14ac:dyDescent="0.2">
      <c r="A1" s="29" t="s">
        <v>32</v>
      </c>
      <c r="B1" s="21"/>
      <c r="C1" s="21"/>
      <c r="D1" s="21"/>
    </row>
    <row r="2" spans="1:7" x14ac:dyDescent="0.2">
      <c r="A2" s="31" t="s">
        <v>33</v>
      </c>
      <c r="B2" s="21"/>
      <c r="C2" s="21"/>
      <c r="D2" s="21"/>
    </row>
    <row r="4" spans="1:7" x14ac:dyDescent="0.2">
      <c r="A4" s="30" t="s">
        <v>34</v>
      </c>
      <c r="B4" s="21"/>
      <c r="C4" s="21"/>
      <c r="D4" s="44"/>
    </row>
    <row r="5" spans="1:7" x14ac:dyDescent="0.2">
      <c r="A5" s="5" t="s">
        <v>35</v>
      </c>
      <c r="B5" s="6" t="s">
        <v>36</v>
      </c>
      <c r="D5" t="s">
        <v>140</v>
      </c>
      <c r="E5" s="42">
        <f>B8*B27</f>
        <v>6170145</v>
      </c>
    </row>
    <row r="6" spans="1:7" x14ac:dyDescent="0.2">
      <c r="A6" s="5" t="s">
        <v>5</v>
      </c>
      <c r="B6" s="7">
        <v>30</v>
      </c>
      <c r="D6" t="s">
        <v>141</v>
      </c>
      <c r="E6" s="42">
        <f>-PMT(B32/12,B33*12,E5)*12</f>
        <v>300448.47314730153</v>
      </c>
    </row>
    <row r="7" spans="1:7" x14ac:dyDescent="0.2">
      <c r="A7" s="5" t="s">
        <v>37</v>
      </c>
      <c r="B7" s="39">
        <v>411343</v>
      </c>
      <c r="D7" t="s">
        <v>142</v>
      </c>
      <c r="E7" s="42">
        <f>-PMT(B32/12,B33*12,E5)</f>
        <v>25037.372762275128</v>
      </c>
    </row>
    <row r="8" spans="1:7" x14ac:dyDescent="0.2">
      <c r="A8" s="5" t="s">
        <v>38</v>
      </c>
      <c r="B8" s="40">
        <f>B6*B7</f>
        <v>12340290</v>
      </c>
      <c r="D8" t="s">
        <v>143</v>
      </c>
      <c r="E8" s="42">
        <f>B6*B18*12</f>
        <v>774000</v>
      </c>
    </row>
    <row r="9" spans="1:7" x14ac:dyDescent="0.2">
      <c r="D9" t="s">
        <v>144</v>
      </c>
      <c r="E9" s="43">
        <f>B26+B27+B28+B29</f>
        <v>1</v>
      </c>
    </row>
    <row r="10" spans="1:7" x14ac:dyDescent="0.2">
      <c r="A10" s="30" t="s">
        <v>39</v>
      </c>
      <c r="B10" s="21"/>
      <c r="C10" s="21"/>
      <c r="D10" s="21"/>
    </row>
    <row r="11" spans="1:7" x14ac:dyDescent="0.2">
      <c r="A11" s="5" t="s">
        <v>40</v>
      </c>
      <c r="B11" s="39">
        <v>3000000</v>
      </c>
      <c r="D11" s="36" t="s">
        <v>172</v>
      </c>
    </row>
    <row r="12" spans="1:7" x14ac:dyDescent="0.2">
      <c r="A12" s="5" t="s">
        <v>41</v>
      </c>
      <c r="B12" s="39">
        <v>2000000</v>
      </c>
      <c r="D12" t="s">
        <v>173</v>
      </c>
      <c r="E12" s="98" t="s">
        <v>174</v>
      </c>
    </row>
    <row r="13" spans="1:7" x14ac:dyDescent="0.2">
      <c r="A13" s="5" t="s">
        <v>42</v>
      </c>
      <c r="B13" s="39">
        <v>1400000</v>
      </c>
    </row>
    <row r="14" spans="1:7" x14ac:dyDescent="0.2">
      <c r="A14" s="5" t="s">
        <v>139</v>
      </c>
      <c r="B14" s="40">
        <f>B11-B12</f>
        <v>1000000</v>
      </c>
      <c r="D14" s="36" t="s">
        <v>175</v>
      </c>
      <c r="E14" s="46" t="s">
        <v>176</v>
      </c>
      <c r="F14" s="46" t="s">
        <v>174</v>
      </c>
      <c r="G14" s="46" t="s">
        <v>177</v>
      </c>
    </row>
    <row r="15" spans="1:7" x14ac:dyDescent="0.2">
      <c r="A15" s="5" t="s">
        <v>43</v>
      </c>
      <c r="B15" s="40">
        <v>600000</v>
      </c>
      <c r="D15" t="s">
        <v>178</v>
      </c>
      <c r="E15" s="99">
        <v>2000</v>
      </c>
      <c r="F15" s="99">
        <v>2150</v>
      </c>
      <c r="G15" s="99">
        <v>2300</v>
      </c>
    </row>
    <row r="16" spans="1:7" x14ac:dyDescent="0.2">
      <c r="D16" t="s">
        <v>179</v>
      </c>
      <c r="E16" s="100">
        <v>1.4999999999999999E-2</v>
      </c>
      <c r="F16" s="100">
        <v>0.02</v>
      </c>
      <c r="G16" s="100">
        <v>0.03</v>
      </c>
    </row>
    <row r="17" spans="1:7" x14ac:dyDescent="0.2">
      <c r="A17" s="30" t="s">
        <v>44</v>
      </c>
      <c r="B17" s="21"/>
      <c r="C17" s="21"/>
      <c r="D17" s="21"/>
      <c r="E17" s="100">
        <v>7.0000000000000007E-2</v>
      </c>
      <c r="F17" s="100">
        <v>0.05</v>
      </c>
      <c r="G17" s="100">
        <v>0.03</v>
      </c>
    </row>
    <row r="18" spans="1:7" x14ac:dyDescent="0.2">
      <c r="A18" s="5" t="s">
        <v>45</v>
      </c>
      <c r="B18" s="40">
        <f>INDEX($E$15:$G$15,MATCH($E$12,$E$14:$G$14,0))</f>
        <v>2150</v>
      </c>
      <c r="D18" t="s">
        <v>180</v>
      </c>
      <c r="E18" s="100">
        <v>0.4</v>
      </c>
      <c r="F18" s="100">
        <v>0.35</v>
      </c>
      <c r="G18" s="100">
        <v>0.32</v>
      </c>
    </row>
    <row r="19" spans="1:7" x14ac:dyDescent="0.2">
      <c r="A19" s="5" t="s">
        <v>46</v>
      </c>
      <c r="B19" s="9">
        <f>INDEX($E$16:$G$16,MATCH($E$12,$E$14:$G$14,0))</f>
        <v>0.02</v>
      </c>
    </row>
    <row r="20" spans="1:7" x14ac:dyDescent="0.2">
      <c r="A20" s="5" t="s">
        <v>47</v>
      </c>
      <c r="B20" s="9">
        <f>INDEX($E$17:$G$17,MATCH($E$12,$E$14:$G$14,0))</f>
        <v>0.05</v>
      </c>
    </row>
    <row r="21" spans="1:7" x14ac:dyDescent="0.2">
      <c r="A21" s="5" t="s">
        <v>48</v>
      </c>
      <c r="B21" s="9">
        <f>INDEX($E$18:$G$18,MATCH($E$12,$E$14:$G$14,0))</f>
        <v>0.35</v>
      </c>
    </row>
    <row r="22" spans="1:7" x14ac:dyDescent="0.2">
      <c r="A22" s="5" t="s">
        <v>49</v>
      </c>
      <c r="B22" s="8">
        <v>0.6</v>
      </c>
    </row>
    <row r="23" spans="1:7" x14ac:dyDescent="0.2">
      <c r="A23" s="5" t="s">
        <v>50</v>
      </c>
      <c r="B23" s="9">
        <f>1-B22</f>
        <v>0.4</v>
      </c>
    </row>
    <row r="25" spans="1:7" x14ac:dyDescent="0.2">
      <c r="A25" s="30" t="s">
        <v>18</v>
      </c>
      <c r="B25" s="21"/>
      <c r="C25" s="21"/>
      <c r="D25" s="21"/>
    </row>
    <row r="26" spans="1:7" x14ac:dyDescent="0.2">
      <c r="A26" s="5" t="s">
        <v>51</v>
      </c>
      <c r="B26" s="41">
        <v>0.4</v>
      </c>
    </row>
    <row r="27" spans="1:7" x14ac:dyDescent="0.2">
      <c r="A27" s="5" t="s">
        <v>52</v>
      </c>
      <c r="B27" s="41">
        <v>0.5</v>
      </c>
    </row>
    <row r="28" spans="1:7" x14ac:dyDescent="0.2">
      <c r="A28" s="5" t="s">
        <v>53</v>
      </c>
      <c r="B28" s="41">
        <v>5.1400000000000001E-2</v>
      </c>
    </row>
    <row r="29" spans="1:7" x14ac:dyDescent="0.2">
      <c r="A29" s="5" t="s">
        <v>54</v>
      </c>
      <c r="B29" s="41">
        <v>4.8599999999999997E-2</v>
      </c>
    </row>
    <row r="31" spans="1:7" x14ac:dyDescent="0.2">
      <c r="A31" s="30" t="s">
        <v>55</v>
      </c>
      <c r="B31" s="21"/>
      <c r="C31" s="21"/>
      <c r="D31" s="21"/>
    </row>
    <row r="32" spans="1:7" x14ac:dyDescent="0.2">
      <c r="A32" s="5" t="s">
        <v>56</v>
      </c>
      <c r="B32" s="41">
        <v>4.2999999999999997E-2</v>
      </c>
    </row>
    <row r="33" spans="1:2" x14ac:dyDescent="0.2">
      <c r="A33" s="5" t="s">
        <v>57</v>
      </c>
      <c r="B33" s="7">
        <v>50</v>
      </c>
    </row>
    <row r="34" spans="1:2" x14ac:dyDescent="0.2">
      <c r="A34" s="5" t="s">
        <v>58</v>
      </c>
      <c r="B34" s="10">
        <v>1.1000000000000001</v>
      </c>
    </row>
    <row r="35" spans="1:2" x14ac:dyDescent="0.2">
      <c r="A35" s="5" t="s">
        <v>59</v>
      </c>
      <c r="B35" s="7">
        <v>20</v>
      </c>
    </row>
  </sheetData>
  <mergeCells count="7">
    <mergeCell ref="A1:D1"/>
    <mergeCell ref="A17:D17"/>
    <mergeCell ref="A31:D31"/>
    <mergeCell ref="A4:D4"/>
    <mergeCell ref="A25:D25"/>
    <mergeCell ref="A2:D2"/>
    <mergeCell ref="A10:D10"/>
  </mergeCells>
  <dataValidations count="1">
    <dataValidation type="list" allowBlank="1" showInputMessage="1" showErrorMessage="1" errorTitle="Invalid scenario" error="Pick Base, Downside, or Upside." sqref="E12" xr:uid="{00CFD433-7CB5-8E4A-8B8B-B7AE6DB02723}">
      <formula1>"Downside,Base,Upside"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0"/>
  <sheetViews>
    <sheetView workbookViewId="0">
      <pane xSplit="1" ySplit="3" topLeftCell="B4" activePane="bottomRight" state="frozen"/>
      <selection pane="topRight"/>
      <selection pane="bottomLeft"/>
      <selection pane="bottomRight" sqref="A1:V1"/>
    </sheetView>
  </sheetViews>
  <sheetFormatPr baseColWidth="10" defaultColWidth="8.83203125" defaultRowHeight="15" x14ac:dyDescent="0.2"/>
  <cols>
    <col min="1" max="1" width="36.6640625" customWidth="1"/>
    <col min="2" max="22" width="14.1640625" customWidth="1"/>
  </cols>
  <sheetData>
    <row r="1" spans="1:22" ht="28" customHeight="1" x14ac:dyDescent="0.25">
      <c r="A1" s="45" t="s">
        <v>60</v>
      </c>
    </row>
    <row r="3" spans="1:22" x14ac:dyDescent="0.2">
      <c r="A3" s="36" t="s">
        <v>61</v>
      </c>
      <c r="B3" s="46" t="s">
        <v>62</v>
      </c>
      <c r="C3" s="46" t="s">
        <v>63</v>
      </c>
      <c r="D3" s="46" t="s">
        <v>64</v>
      </c>
      <c r="E3" s="46" t="s">
        <v>65</v>
      </c>
      <c r="F3" s="46" t="s">
        <v>66</v>
      </c>
      <c r="G3" s="46" t="s">
        <v>67</v>
      </c>
      <c r="H3" s="46" t="s">
        <v>68</v>
      </c>
      <c r="I3" s="46" t="s">
        <v>69</v>
      </c>
      <c r="J3" s="46" t="s">
        <v>70</v>
      </c>
      <c r="K3" s="46" t="s">
        <v>71</v>
      </c>
      <c r="L3" s="46" t="s">
        <v>72</v>
      </c>
      <c r="M3" s="46" t="s">
        <v>73</v>
      </c>
      <c r="N3" s="46" t="s">
        <v>74</v>
      </c>
      <c r="O3" s="46" t="s">
        <v>75</v>
      </c>
      <c r="P3" s="46" t="s">
        <v>76</v>
      </c>
      <c r="Q3" s="46" t="s">
        <v>77</v>
      </c>
      <c r="R3" s="46" t="s">
        <v>78</v>
      </c>
      <c r="S3" s="46" t="s">
        <v>79</v>
      </c>
      <c r="T3" s="46" t="s">
        <v>80</v>
      </c>
      <c r="U3" s="46" t="s">
        <v>81</v>
      </c>
      <c r="V3" s="47" t="s">
        <v>82</v>
      </c>
    </row>
    <row r="4" spans="1:22" x14ac:dyDescent="0.2">
      <c r="A4" t="s">
        <v>83</v>
      </c>
      <c r="B4" s="76">
        <f>Assumptions!E8</f>
        <v>774000</v>
      </c>
      <c r="C4" s="48">
        <f>B4*(1+Assumptions!$B$19)</f>
        <v>789480</v>
      </c>
      <c r="D4" s="48">
        <f>C4*(1+Assumptions!$B$19)</f>
        <v>805269.6</v>
      </c>
      <c r="E4" s="48">
        <f>D4*(1+Assumptions!$B$19)</f>
        <v>821374.99199999997</v>
      </c>
      <c r="F4" s="48">
        <f>E4*(1+Assumptions!$B$19)</f>
        <v>837802.49184000003</v>
      </c>
      <c r="G4" s="48">
        <f>F4*(1+Assumptions!$B$19)</f>
        <v>854558.5416768</v>
      </c>
      <c r="H4" s="48">
        <f>G4*(1+Assumptions!$B$19)</f>
        <v>871649.71251033596</v>
      </c>
      <c r="I4" s="48">
        <f>H4*(1+Assumptions!$B$19)</f>
        <v>889082.7067605427</v>
      </c>
      <c r="J4" s="48">
        <f>I4*(1+Assumptions!$B$19)</f>
        <v>906864.36089575361</v>
      </c>
      <c r="K4" s="48">
        <f>J4*(1+Assumptions!$B$19)</f>
        <v>925001.64811366866</v>
      </c>
      <c r="L4" s="48">
        <f>K4*(1+Assumptions!$B$19)</f>
        <v>943501.681075942</v>
      </c>
      <c r="M4" s="48">
        <f>L4*(1+Assumptions!$B$19)</f>
        <v>962371.71469746088</v>
      </c>
      <c r="N4" s="48">
        <f>M4*(1+Assumptions!$B$19)</f>
        <v>981619.14899141015</v>
      </c>
      <c r="O4" s="48">
        <f>N4*(1+Assumptions!$B$19)</f>
        <v>1001251.5319712383</v>
      </c>
      <c r="P4" s="48">
        <f>O4*(1+Assumptions!$B$19)</f>
        <v>1021276.5626106631</v>
      </c>
      <c r="Q4" s="48">
        <f>P4*(1+Assumptions!$B$19)</f>
        <v>1041702.0938628764</v>
      </c>
      <c r="R4" s="48">
        <f>Q4*(1+Assumptions!$B$19)</f>
        <v>1062536.1357401339</v>
      </c>
      <c r="S4" s="48">
        <f>R4*(1+Assumptions!$B$19)</f>
        <v>1083786.8584549366</v>
      </c>
      <c r="T4" s="48">
        <f>S4*(1+Assumptions!$B$19)</f>
        <v>1105462.5956240355</v>
      </c>
      <c r="U4" s="48">
        <f>T4*(1+Assumptions!$B$19)</f>
        <v>1127571.8475365161</v>
      </c>
      <c r="V4" s="49">
        <f>SUM(B4:U4)</f>
        <v>18806164.224362314</v>
      </c>
    </row>
    <row r="5" spans="1:22" x14ac:dyDescent="0.2">
      <c r="A5" t="s">
        <v>84</v>
      </c>
      <c r="B5" s="76">
        <f>B4*Assumptions!$B$20</f>
        <v>38700</v>
      </c>
      <c r="C5" s="48">
        <f>C4*Assumptions!$B$20</f>
        <v>39474</v>
      </c>
      <c r="D5" s="48">
        <f>D4*Assumptions!$B$20</f>
        <v>40263.480000000003</v>
      </c>
      <c r="E5" s="48">
        <f>E4*Assumptions!$B$20</f>
        <v>41068.749600000003</v>
      </c>
      <c r="F5" s="48">
        <f>F4*Assumptions!$B$20</f>
        <v>41890.124592000007</v>
      </c>
      <c r="G5" s="48">
        <f>G4*Assumptions!$B$20</f>
        <v>42727.927083840004</v>
      </c>
      <c r="H5" s="48">
        <f>H4*Assumptions!$B$20</f>
        <v>43582.485625516798</v>
      </c>
      <c r="I5" s="48">
        <f>I4*Assumptions!$B$20</f>
        <v>44454.135338027139</v>
      </c>
      <c r="J5" s="48">
        <f>J4*Assumptions!$B$20</f>
        <v>45343.218044787682</v>
      </c>
      <c r="K5" s="48">
        <f>K4*Assumptions!$B$20</f>
        <v>46250.082405683439</v>
      </c>
      <c r="L5" s="48">
        <f>L4*Assumptions!$B$20</f>
        <v>47175.084053797102</v>
      </c>
      <c r="M5" s="48">
        <f>M4*Assumptions!$B$20</f>
        <v>48118.58573487305</v>
      </c>
      <c r="N5" s="48">
        <f>N4*Assumptions!$B$20</f>
        <v>49080.957449570509</v>
      </c>
      <c r="O5" s="48">
        <f>O4*Assumptions!$B$20</f>
        <v>50062.576598561922</v>
      </c>
      <c r="P5" s="48">
        <f>P4*Assumptions!$B$20</f>
        <v>51063.828130533162</v>
      </c>
      <c r="Q5" s="48">
        <f>Q4*Assumptions!$B$20</f>
        <v>52085.104693143825</v>
      </c>
      <c r="R5" s="48">
        <f>R4*Assumptions!$B$20</f>
        <v>53126.806787006703</v>
      </c>
      <c r="S5" s="48">
        <f>S4*Assumptions!$B$20</f>
        <v>54189.342922746837</v>
      </c>
      <c r="T5" s="48">
        <f>T4*Assumptions!$B$20</f>
        <v>55273.129781201773</v>
      </c>
      <c r="U5" s="48">
        <f>U4*Assumptions!$B$20</f>
        <v>56378.592376825807</v>
      </c>
      <c r="V5" s="49">
        <f>SUM(B5:U5)</f>
        <v>940308.21121811587</v>
      </c>
    </row>
    <row r="6" spans="1:22" x14ac:dyDescent="0.2">
      <c r="A6" t="s">
        <v>85</v>
      </c>
      <c r="B6" s="77">
        <f>B4-B5</f>
        <v>735300</v>
      </c>
      <c r="C6" s="50">
        <f>C4-C5</f>
        <v>750006</v>
      </c>
      <c r="D6" s="50">
        <f t="shared" ref="D6:U6" si="0">D4-D5</f>
        <v>765006.12</v>
      </c>
      <c r="E6" s="50">
        <f t="shared" si="0"/>
        <v>780306.24239999999</v>
      </c>
      <c r="F6" s="50">
        <f t="shared" si="0"/>
        <v>795912.367248</v>
      </c>
      <c r="G6" s="50">
        <f t="shared" si="0"/>
        <v>811830.61459295999</v>
      </c>
      <c r="H6" s="50">
        <f t="shared" si="0"/>
        <v>828067.2268848191</v>
      </c>
      <c r="I6" s="50">
        <f t="shared" si="0"/>
        <v>844628.57142251555</v>
      </c>
      <c r="J6" s="50">
        <f t="shared" si="0"/>
        <v>861521.14285096596</v>
      </c>
      <c r="K6" s="50">
        <f t="shared" si="0"/>
        <v>878751.5657079852</v>
      </c>
      <c r="L6" s="50">
        <f t="shared" si="0"/>
        <v>896326.59702214494</v>
      </c>
      <c r="M6" s="50">
        <f t="shared" si="0"/>
        <v>914253.1289625878</v>
      </c>
      <c r="N6" s="50">
        <f t="shared" si="0"/>
        <v>932538.19154183962</v>
      </c>
      <c r="O6" s="50">
        <f t="shared" si="0"/>
        <v>951188.95537267637</v>
      </c>
      <c r="P6" s="50">
        <f t="shared" si="0"/>
        <v>970212.73448013002</v>
      </c>
      <c r="Q6" s="50">
        <f t="shared" si="0"/>
        <v>989616.98916973255</v>
      </c>
      <c r="R6" s="50">
        <f t="shared" si="0"/>
        <v>1009409.3289531273</v>
      </c>
      <c r="S6" s="50">
        <f t="shared" si="0"/>
        <v>1029597.5155321899</v>
      </c>
      <c r="T6" s="50">
        <f t="shared" si="0"/>
        <v>1050189.4658428337</v>
      </c>
      <c r="U6" s="50">
        <f t="shared" si="0"/>
        <v>1071193.2551596903</v>
      </c>
      <c r="V6" s="51">
        <f>SUM(B6:U6)</f>
        <v>17865856.013144195</v>
      </c>
    </row>
    <row r="7" spans="1:22" x14ac:dyDescent="0.2">
      <c r="A7" t="s">
        <v>86</v>
      </c>
      <c r="B7" s="76">
        <f>B6*Assumptions!$B$21</f>
        <v>257354.99999999997</v>
      </c>
      <c r="C7" s="48">
        <f>C6*Assumptions!$B$21</f>
        <v>262502.09999999998</v>
      </c>
      <c r="D7" s="48">
        <f>D6*Assumptions!$B$21</f>
        <v>267752.14199999999</v>
      </c>
      <c r="E7" s="48">
        <f>E6*Assumptions!$B$21</f>
        <v>273107.18484</v>
      </c>
      <c r="F7" s="48">
        <f>F6*Assumptions!$B$21</f>
        <v>278569.32853679999</v>
      </c>
      <c r="G7" s="48">
        <f>G6*Assumptions!$B$21</f>
        <v>284140.715107536</v>
      </c>
      <c r="H7" s="48">
        <f>H6*Assumptions!$B$21</f>
        <v>289823.52940968669</v>
      </c>
      <c r="I7" s="48">
        <f>I6*Assumptions!$B$21</f>
        <v>295619.99999788043</v>
      </c>
      <c r="J7" s="48">
        <f>J6*Assumptions!$B$21</f>
        <v>301532.39999783807</v>
      </c>
      <c r="K7" s="48">
        <f>K6*Assumptions!$B$21</f>
        <v>307563.04799779481</v>
      </c>
      <c r="L7" s="48">
        <f>L6*Assumptions!$B$21</f>
        <v>313714.30895775073</v>
      </c>
      <c r="M7" s="48">
        <f>M6*Assumptions!$B$21</f>
        <v>319988.59513690573</v>
      </c>
      <c r="N7" s="48">
        <f>N6*Assumptions!$B$21</f>
        <v>326388.36703964387</v>
      </c>
      <c r="O7" s="48">
        <f>O6*Assumptions!$B$21</f>
        <v>332916.13438043674</v>
      </c>
      <c r="P7" s="48">
        <f>P6*Assumptions!$B$21</f>
        <v>339574.45706804551</v>
      </c>
      <c r="Q7" s="48">
        <f>Q6*Assumptions!$B$21</f>
        <v>346365.94620940636</v>
      </c>
      <c r="R7" s="48">
        <f>R6*Assumptions!$B$21</f>
        <v>353293.26513359451</v>
      </c>
      <c r="S7" s="48">
        <f>S6*Assumptions!$B$21</f>
        <v>360359.13043626642</v>
      </c>
      <c r="T7" s="48">
        <f>T6*Assumptions!$B$21</f>
        <v>367566.31304499181</v>
      </c>
      <c r="U7" s="48">
        <f>U6*Assumptions!$B$21</f>
        <v>374917.63930589159</v>
      </c>
      <c r="V7" s="49">
        <f>SUM(B7:U7)</f>
        <v>6253049.6046004687</v>
      </c>
    </row>
    <row r="8" spans="1:22" x14ac:dyDescent="0.2">
      <c r="A8" s="36" t="s">
        <v>87</v>
      </c>
      <c r="B8" s="78">
        <f>B6-B7</f>
        <v>477945</v>
      </c>
      <c r="C8" s="52">
        <f>C6-C7</f>
        <v>487503.9</v>
      </c>
      <c r="D8" s="52">
        <f t="shared" ref="D8:U8" si="1">D6-D7</f>
        <v>497253.978</v>
      </c>
      <c r="E8" s="52">
        <f t="shared" si="1"/>
        <v>507199.05755999999</v>
      </c>
      <c r="F8" s="52">
        <f t="shared" si="1"/>
        <v>517343.0387112</v>
      </c>
      <c r="G8" s="52">
        <f t="shared" si="1"/>
        <v>527689.89948542393</v>
      </c>
      <c r="H8" s="52">
        <f t="shared" si="1"/>
        <v>538243.69747513242</v>
      </c>
      <c r="I8" s="52">
        <f t="shared" si="1"/>
        <v>549008.57142463513</v>
      </c>
      <c r="J8" s="52">
        <f t="shared" si="1"/>
        <v>559988.74285312789</v>
      </c>
      <c r="K8" s="52">
        <f t="shared" si="1"/>
        <v>571188.51771019038</v>
      </c>
      <c r="L8" s="52">
        <f t="shared" si="1"/>
        <v>582612.28806439415</v>
      </c>
      <c r="M8" s="52">
        <f t="shared" si="1"/>
        <v>594264.53382568201</v>
      </c>
      <c r="N8" s="52">
        <f t="shared" si="1"/>
        <v>606149.8245021957</v>
      </c>
      <c r="O8" s="52">
        <f t="shared" si="1"/>
        <v>618272.82099223963</v>
      </c>
      <c r="P8" s="52">
        <f t="shared" si="1"/>
        <v>630638.27741208451</v>
      </c>
      <c r="Q8" s="52">
        <f t="shared" si="1"/>
        <v>643251.04296032619</v>
      </c>
      <c r="R8" s="52">
        <f t="shared" si="1"/>
        <v>656116.06381953275</v>
      </c>
      <c r="S8" s="52">
        <f t="shared" si="1"/>
        <v>669238.38509592344</v>
      </c>
      <c r="T8" s="52">
        <f t="shared" si="1"/>
        <v>682623.15279784193</v>
      </c>
      <c r="U8" s="52">
        <f t="shared" si="1"/>
        <v>696275.61585379869</v>
      </c>
      <c r="V8" s="51">
        <f>SUM(B8:U8)</f>
        <v>11612806.408543732</v>
      </c>
    </row>
    <row r="9" spans="1:22" x14ac:dyDescent="0.2">
      <c r="A9" t="s">
        <v>88</v>
      </c>
      <c r="B9" s="76">
        <f>Assumptions!$E$6</f>
        <v>300448.47314730153</v>
      </c>
      <c r="C9" s="48">
        <f>Assumptions!$E$6</f>
        <v>300448.47314730153</v>
      </c>
      <c r="D9" s="48">
        <f>Assumptions!$E$6</f>
        <v>300448.47314730153</v>
      </c>
      <c r="E9" s="48">
        <f>Assumptions!$E$6</f>
        <v>300448.47314730153</v>
      </c>
      <c r="F9" s="48">
        <f>Assumptions!$E$6</f>
        <v>300448.47314730153</v>
      </c>
      <c r="G9" s="48">
        <f>Assumptions!$E$6</f>
        <v>300448.47314730153</v>
      </c>
      <c r="H9" s="48">
        <f>Assumptions!$E$6</f>
        <v>300448.47314730153</v>
      </c>
      <c r="I9" s="48">
        <f>Assumptions!$E$6</f>
        <v>300448.47314730153</v>
      </c>
      <c r="J9" s="48">
        <f>Assumptions!$E$6</f>
        <v>300448.47314730153</v>
      </c>
      <c r="K9" s="48">
        <f>Assumptions!$E$6</f>
        <v>300448.47314730153</v>
      </c>
      <c r="L9" s="48">
        <f>Assumptions!$E$6</f>
        <v>300448.47314730153</v>
      </c>
      <c r="M9" s="48">
        <f>Assumptions!$E$6</f>
        <v>300448.47314730153</v>
      </c>
      <c r="N9" s="48">
        <f>Assumptions!$E$6</f>
        <v>300448.47314730153</v>
      </c>
      <c r="O9" s="48">
        <f>Assumptions!$E$6</f>
        <v>300448.47314730153</v>
      </c>
      <c r="P9" s="48">
        <f>Assumptions!$E$6</f>
        <v>300448.47314730153</v>
      </c>
      <c r="Q9" s="48">
        <f>Assumptions!$E$6</f>
        <v>300448.47314730153</v>
      </c>
      <c r="R9" s="48">
        <f>Assumptions!$E$6</f>
        <v>300448.47314730153</v>
      </c>
      <c r="S9" s="48">
        <f>Assumptions!$E$6</f>
        <v>300448.47314730153</v>
      </c>
      <c r="T9" s="48">
        <f>Assumptions!$E$6</f>
        <v>300448.47314730153</v>
      </c>
      <c r="U9" s="48">
        <f>Assumptions!$E$6</f>
        <v>300448.47314730153</v>
      </c>
      <c r="V9" s="49">
        <f>SUM(B9:U9)</f>
        <v>6008969.4629460331</v>
      </c>
    </row>
    <row r="10" spans="1:22" x14ac:dyDescent="0.2">
      <c r="A10" s="36" t="s">
        <v>89</v>
      </c>
      <c r="B10" s="78">
        <f>B8-B9</f>
        <v>177496.52685269847</v>
      </c>
      <c r="C10" s="52">
        <f>C8-C9</f>
        <v>187055.4268526985</v>
      </c>
      <c r="D10" s="52">
        <f t="shared" ref="D10:U10" si="2">D8-D9</f>
        <v>196805.50485269848</v>
      </c>
      <c r="E10" s="52">
        <f t="shared" si="2"/>
        <v>206750.58441269846</v>
      </c>
      <c r="F10" s="52">
        <f t="shared" si="2"/>
        <v>216894.56556389848</v>
      </c>
      <c r="G10" s="52">
        <f t="shared" si="2"/>
        <v>227241.4263381224</v>
      </c>
      <c r="H10" s="52">
        <f t="shared" si="2"/>
        <v>237795.22432783089</v>
      </c>
      <c r="I10" s="52">
        <f t="shared" si="2"/>
        <v>248560.0982773336</v>
      </c>
      <c r="J10" s="52">
        <f t="shared" si="2"/>
        <v>259540.26970582636</v>
      </c>
      <c r="K10" s="52">
        <f t="shared" si="2"/>
        <v>270740.04456288886</v>
      </c>
      <c r="L10" s="52">
        <f t="shared" si="2"/>
        <v>282163.81491709262</v>
      </c>
      <c r="M10" s="52">
        <f t="shared" si="2"/>
        <v>293816.06067838048</v>
      </c>
      <c r="N10" s="52">
        <f t="shared" si="2"/>
        <v>305701.35135489417</v>
      </c>
      <c r="O10" s="52">
        <f t="shared" si="2"/>
        <v>317824.34784493811</v>
      </c>
      <c r="P10" s="52">
        <f t="shared" si="2"/>
        <v>330189.80426478299</v>
      </c>
      <c r="Q10" s="52">
        <f t="shared" si="2"/>
        <v>342802.56981302466</v>
      </c>
      <c r="R10" s="52">
        <f t="shared" si="2"/>
        <v>355667.59067223122</v>
      </c>
      <c r="S10" s="52">
        <f t="shared" si="2"/>
        <v>368789.91194862191</v>
      </c>
      <c r="T10" s="52">
        <f t="shared" si="2"/>
        <v>382174.67965054041</v>
      </c>
      <c r="U10" s="52">
        <f t="shared" si="2"/>
        <v>395827.14270649716</v>
      </c>
      <c r="V10" s="51">
        <f>SUM(B10:U10)</f>
        <v>5603836.9455976989</v>
      </c>
    </row>
    <row r="11" spans="1:22" x14ac:dyDescent="0.2">
      <c r="B11" s="76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9"/>
    </row>
    <row r="12" spans="1:22" x14ac:dyDescent="0.2">
      <c r="A12" s="36" t="s">
        <v>90</v>
      </c>
      <c r="B12" s="76">
        <f>B10*Assumptions!$B$22</f>
        <v>106497.91611161908</v>
      </c>
      <c r="C12" s="48">
        <f>C10*Assumptions!$B$22</f>
        <v>112233.25611161909</v>
      </c>
      <c r="D12" s="48">
        <f>D10*Assumptions!$B$22</f>
        <v>118083.30291161907</v>
      </c>
      <c r="E12" s="48">
        <f>E10*Assumptions!$B$22</f>
        <v>124050.35064761907</v>
      </c>
      <c r="F12" s="48">
        <f>F10*Assumptions!$B$22</f>
        <v>130136.73933833907</v>
      </c>
      <c r="G12" s="48">
        <f>G10*Assumptions!$B$22</f>
        <v>136344.85580287344</v>
      </c>
      <c r="H12" s="48">
        <f>H10*Assumptions!$B$22</f>
        <v>142677.13459669854</v>
      </c>
      <c r="I12" s="48">
        <f>I10*Assumptions!$B$22</f>
        <v>149136.05896640016</v>
      </c>
      <c r="J12" s="48">
        <f>J10*Assumptions!$B$22</f>
        <v>155724.16182349582</v>
      </c>
      <c r="K12" s="48">
        <f>K10*Assumptions!$B$22</f>
        <v>162444.02673773331</v>
      </c>
      <c r="L12" s="48">
        <f>L10*Assumptions!$B$22</f>
        <v>169298.28895025558</v>
      </c>
      <c r="M12" s="48">
        <f>M10*Assumptions!$B$22</f>
        <v>176289.63640702827</v>
      </c>
      <c r="N12" s="48">
        <f>N10*Assumptions!$B$22</f>
        <v>183420.81081293648</v>
      </c>
      <c r="O12" s="48">
        <f>O10*Assumptions!$B$22</f>
        <v>190694.60870696287</v>
      </c>
      <c r="P12" s="48">
        <f>P10*Assumptions!$B$22</f>
        <v>198113.88255886978</v>
      </c>
      <c r="Q12" s="48">
        <f>Q10*Assumptions!$B$22</f>
        <v>205681.54188781479</v>
      </c>
      <c r="R12" s="48">
        <f>R10*Assumptions!$B$22</f>
        <v>213400.55440333873</v>
      </c>
      <c r="S12" s="48">
        <f>S10*Assumptions!$B$22</f>
        <v>221273.94716917313</v>
      </c>
      <c r="T12" s="48">
        <f>T10*Assumptions!$B$22</f>
        <v>229304.80779032424</v>
      </c>
      <c r="U12" s="48">
        <f>U10*Assumptions!$B$22</f>
        <v>237496.28562389829</v>
      </c>
      <c r="V12" s="49">
        <f>SUM(B12:U12)</f>
        <v>3362302.1673586178</v>
      </c>
    </row>
    <row r="13" spans="1:22" x14ac:dyDescent="0.2">
      <c r="A13" t="s">
        <v>91</v>
      </c>
      <c r="B13" s="76">
        <f>B10*Assumptions!$B$23</f>
        <v>70998.610741079392</v>
      </c>
      <c r="C13" s="48">
        <f>C10*Assumptions!$B$23</f>
        <v>74822.170741079404</v>
      </c>
      <c r="D13" s="48">
        <f>D10*Assumptions!$B$23</f>
        <v>78722.201941079402</v>
      </c>
      <c r="E13" s="48">
        <f>E10*Assumptions!$B$23</f>
        <v>82700.233765079392</v>
      </c>
      <c r="F13" s="48">
        <f>F10*Assumptions!$B$23</f>
        <v>86757.826225559402</v>
      </c>
      <c r="G13" s="48">
        <f>G10*Assumptions!$B$23</f>
        <v>90896.57053524896</v>
      </c>
      <c r="H13" s="48">
        <f>H10*Assumptions!$B$23</f>
        <v>95118.089731132364</v>
      </c>
      <c r="I13" s="48">
        <f>I10*Assumptions!$B$23</f>
        <v>99424.03931093344</v>
      </c>
      <c r="J13" s="48">
        <f>J10*Assumptions!$B$23</f>
        <v>103816.10788233054</v>
      </c>
      <c r="K13" s="48">
        <f>K10*Assumptions!$B$23</f>
        <v>108296.01782515555</v>
      </c>
      <c r="L13" s="48">
        <f>L10*Assumptions!$B$23</f>
        <v>112865.52596683706</v>
      </c>
      <c r="M13" s="48">
        <f>M10*Assumptions!$B$23</f>
        <v>117526.4242713522</v>
      </c>
      <c r="N13" s="48">
        <f>N10*Assumptions!$B$23</f>
        <v>122280.54054195767</v>
      </c>
      <c r="O13" s="48">
        <f>O10*Assumptions!$B$23</f>
        <v>127129.73913797525</v>
      </c>
      <c r="P13" s="48">
        <f>P10*Assumptions!$B$23</f>
        <v>132075.92170591321</v>
      </c>
      <c r="Q13" s="48">
        <f>Q10*Assumptions!$B$23</f>
        <v>137121.02792520987</v>
      </c>
      <c r="R13" s="48">
        <f>R10*Assumptions!$B$23</f>
        <v>142267.03626889249</v>
      </c>
      <c r="S13" s="48">
        <f>S10*Assumptions!$B$23</f>
        <v>147515.96477944878</v>
      </c>
      <c r="T13" s="48">
        <f>T10*Assumptions!$B$23</f>
        <v>152869.87186021617</v>
      </c>
      <c r="U13" s="48">
        <f>U10*Assumptions!$B$23</f>
        <v>158330.85708259887</v>
      </c>
      <c r="V13" s="49">
        <f>SUM(B13:U13)</f>
        <v>2241534.7782390793</v>
      </c>
    </row>
    <row r="14" spans="1:22" x14ac:dyDescent="0.2">
      <c r="B14" s="76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9"/>
    </row>
    <row r="15" spans="1:22" x14ac:dyDescent="0.2">
      <c r="A15" t="s">
        <v>92</v>
      </c>
      <c r="B15" s="76">
        <f>-CUMPRINC(Assumptions!$B$32/12,Assumptions!$B$33*12,Assumptions!$E$5,1,12,0)</f>
        <v>35832.973378483257</v>
      </c>
      <c r="C15" s="48">
        <f>B15+(-CUMPRINC(Assumptions!$B$32/12,Assumptions!$B$33*12,Assumptions!$E$5,(COLUMN()-2)*12+1,(COLUMN()-1)*12,0))</f>
        <v>73237.497221746497</v>
      </c>
      <c r="D15" s="48">
        <f>C15+(-CUMPRINC(Assumptions!$B$32/12,Assumptions!$B$33*12,Assumptions!$E$5,(COLUMN()-2)*12+1,(COLUMN()-1)*12,0))</f>
        <v>112282.49606020095</v>
      </c>
      <c r="E15" s="48">
        <f>D15+(-CUMPRINC(Assumptions!$B$32/12,Assumptions!$B$33*12,Assumptions!$E$5,(COLUMN()-2)*12+1,(COLUMN()-1)*12,0))</f>
        <v>153039.91729307364</v>
      </c>
      <c r="F15" s="48">
        <f>E15+(-CUMPRINC(Assumptions!$B$32/12,Assumptions!$B$33*12,Assumptions!$E$5,(COLUMN()-2)*12+1,(COLUMN()-1)*12,0))</f>
        <v>195584.86376436867</v>
      </c>
      <c r="G15" s="48">
        <f>F15+(-CUMPRINC(Assumptions!$B$32/12,Assumptions!$B$33*12,Assumptions!$E$5,(COLUMN()-2)*12+1,(COLUMN()-1)*12,0))</f>
        <v>239995.73215330037</v>
      </c>
      <c r="H15" s="48">
        <f>G15+(-CUMPRINC(Assumptions!$B$32/12,Assumptions!$B$33*12,Assumptions!$E$5,(COLUMN()-2)*12+1,(COLUMN()-1)*12,0))</f>
        <v>286354.35743420734</v>
      </c>
      <c r="I15" s="48">
        <f>H15+(-CUMPRINC(Assumptions!$B$32/12,Assumptions!$B$33*12,Assumptions!$E$5,(COLUMN()-2)*12+1,(COLUMN()-1)*12,0))</f>
        <v>334746.16367214086</v>
      </c>
      <c r="J15" s="48">
        <f>I15+(-CUMPRINC(Assumptions!$B$32/12,Assumptions!$B$33*12,Assumptions!$E$5,(COLUMN()-2)*12+1,(COLUMN()-1)*12,0))</f>
        <v>385260.32143199508</v>
      </c>
      <c r="K15" s="48">
        <f>J15+(-CUMPRINC(Assumptions!$B$32/12,Assumptions!$B$33*12,Assumptions!$E$5,(COLUMN()-2)*12+1,(COLUMN()-1)*12,0))</f>
        <v>437989.912091234</v>
      </c>
      <c r="L15" s="48">
        <f>K15+(-CUMPRINC(Assumptions!$B$32/12,Assumptions!$B$33*12,Assumptions!$E$5,(COLUMN()-2)*12+1,(COLUMN()-1)*12,0))</f>
        <v>493032.09935899061</v>
      </c>
      <c r="M15" s="48">
        <f>L15+(-CUMPRINC(Assumptions!$B$32/12,Assumptions!$B$33*12,Assumptions!$E$5,(COLUMN()-2)*12+1,(COLUMN()-1)*12,0))</f>
        <v>550488.30831759272</v>
      </c>
      <c r="N15" s="48">
        <f>M15+(-CUMPRINC(Assumptions!$B$32/12,Assumptions!$B$33*12,Assumptions!$E$5,(COLUMN()-2)*12+1,(COLUMN()-1)*12,0))</f>
        <v>610464.41231643187</v>
      </c>
      <c r="O15" s="48">
        <f>N15+(-CUMPRINC(Assumptions!$B$32/12,Assumptions!$B$33*12,Assumptions!$E$5,(COLUMN()-2)*12+1,(COLUMN()-1)*12,0))</f>
        <v>673070.92806256039</v>
      </c>
      <c r="P15" s="48">
        <f>O15+(-CUMPRINC(Assumptions!$B$32/12,Assumptions!$B$33*12,Assumptions!$E$5,(COLUMN()-2)*12+1,(COLUMN()-1)*12,0))</f>
        <v>738423.21926750592</v>
      </c>
      <c r="Q15" s="48">
        <f>P15+(-CUMPRINC(Assumptions!$B$32/12,Assumptions!$B$33*12,Assumptions!$E$5,(COLUMN()-2)*12+1,(COLUMN()-1)*12,0))</f>
        <v>806641.70922555972</v>
      </c>
      <c r="R15" s="48">
        <f>Q15+(-CUMPRINC(Assumptions!$B$32/12,Assumptions!$B$33*12,Assumptions!$E$5,(COLUMN()-2)*12+1,(COLUMN()-1)*12,0))</f>
        <v>877852.10271525139</v>
      </c>
      <c r="S15" s="48">
        <f>R15+(-CUMPRINC(Assumptions!$B$32/12,Assumptions!$B$33*12,Assumptions!$E$5,(COLUMN()-2)*12+1,(COLUMN()-1)*12,0))</f>
        <v>952185.61763290386</v>
      </c>
      <c r="T15" s="48">
        <f>S15+(-CUMPRINC(Assumptions!$B$32/12,Assumptions!$B$33*12,Assumptions!$E$5,(COLUMN()-2)*12+1,(COLUMN()-1)*12,0))</f>
        <v>1029779.2267850948</v>
      </c>
      <c r="U15" s="48">
        <f>T15+(-CUMPRINC(Assumptions!$B$32/12,Assumptions!$B$33*12,Assumptions!$E$5,(COLUMN()-2)*12+1,(COLUMN()-1)*12,0))</f>
        <v>1110775.9102855704</v>
      </c>
      <c r="V15" s="49">
        <f>U15</f>
        <v>1110775.9102855704</v>
      </c>
    </row>
    <row r="16" spans="1:22" x14ac:dyDescent="0.2">
      <c r="A16" t="s">
        <v>93</v>
      </c>
      <c r="B16" s="76">
        <f>Assumptions!$E$5-B15</f>
        <v>6134312.0266215168</v>
      </c>
      <c r="C16" s="48">
        <f>Assumptions!$E$5-C15</f>
        <v>6096907.5027782535</v>
      </c>
      <c r="D16" s="48">
        <f>Assumptions!$E$5-D15</f>
        <v>6057862.503939799</v>
      </c>
      <c r="E16" s="48">
        <f>Assumptions!$E$5-E15</f>
        <v>6017105.0827069264</v>
      </c>
      <c r="F16" s="48">
        <f>Assumptions!$E$5-F15</f>
        <v>5974560.1362356311</v>
      </c>
      <c r="G16" s="48">
        <f>Assumptions!$E$5-G15</f>
        <v>5930149.2678466998</v>
      </c>
      <c r="H16" s="48">
        <f>Assumptions!$E$5-H15</f>
        <v>5883790.6425657924</v>
      </c>
      <c r="I16" s="48">
        <f>Assumptions!$E$5-I15</f>
        <v>5835398.8363278592</v>
      </c>
      <c r="J16" s="48">
        <f>Assumptions!$E$5-J15</f>
        <v>5784884.6785680046</v>
      </c>
      <c r="K16" s="48">
        <f>Assumptions!$E$5-K15</f>
        <v>5732155.0879087662</v>
      </c>
      <c r="L16" s="48">
        <f>Assumptions!$E$5-L15</f>
        <v>5677112.9006410092</v>
      </c>
      <c r="M16" s="48">
        <f>Assumptions!$E$5-M15</f>
        <v>5619656.6916824076</v>
      </c>
      <c r="N16" s="48">
        <f>Assumptions!$E$5-N15</f>
        <v>5559680.5876835678</v>
      </c>
      <c r="O16" s="48">
        <f>Assumptions!$E$5-O15</f>
        <v>5497074.07193744</v>
      </c>
      <c r="P16" s="48">
        <f>Assumptions!$E$5-P15</f>
        <v>5431721.7807324938</v>
      </c>
      <c r="Q16" s="48">
        <f>Assumptions!$E$5-Q15</f>
        <v>5363503.2907744404</v>
      </c>
      <c r="R16" s="48">
        <f>Assumptions!$E$5-R15</f>
        <v>5292292.897284749</v>
      </c>
      <c r="S16" s="48">
        <f>Assumptions!$E$5-S15</f>
        <v>5217959.3823670959</v>
      </c>
      <c r="T16" s="48">
        <f>Assumptions!$E$5-T15</f>
        <v>5140365.7732149055</v>
      </c>
      <c r="U16" s="48">
        <f>Assumptions!$E$5-U15</f>
        <v>5059369.0897144293</v>
      </c>
      <c r="V16" s="49"/>
    </row>
    <row r="18" spans="1:21" x14ac:dyDescent="0.2">
      <c r="A18" s="84" t="s">
        <v>181</v>
      </c>
      <c r="B18" s="87">
        <v>1</v>
      </c>
      <c r="C18" s="87">
        <f>B18+1</f>
        <v>2</v>
      </c>
      <c r="D18" s="87">
        <f t="shared" ref="D18:U18" si="3">C18+1</f>
        <v>3</v>
      </c>
      <c r="E18" s="87">
        <f t="shared" si="3"/>
        <v>4</v>
      </c>
      <c r="F18" s="87">
        <f t="shared" si="3"/>
        <v>5</v>
      </c>
      <c r="G18" s="87">
        <f t="shared" si="3"/>
        <v>6</v>
      </c>
      <c r="H18" s="87">
        <f t="shared" si="3"/>
        <v>7</v>
      </c>
      <c r="I18" s="87">
        <f t="shared" si="3"/>
        <v>8</v>
      </c>
      <c r="J18" s="87">
        <f t="shared" si="3"/>
        <v>9</v>
      </c>
      <c r="K18" s="87">
        <f t="shared" si="3"/>
        <v>10</v>
      </c>
      <c r="L18" s="87">
        <f t="shared" si="3"/>
        <v>11</v>
      </c>
      <c r="M18" s="87">
        <f t="shared" si="3"/>
        <v>12</v>
      </c>
      <c r="N18" s="87">
        <f t="shared" si="3"/>
        <v>13</v>
      </c>
      <c r="O18" s="87">
        <f t="shared" si="3"/>
        <v>14</v>
      </c>
      <c r="P18" s="87">
        <f t="shared" si="3"/>
        <v>15</v>
      </c>
      <c r="Q18" s="87">
        <f t="shared" si="3"/>
        <v>16</v>
      </c>
      <c r="R18" s="87">
        <f t="shared" si="3"/>
        <v>17</v>
      </c>
      <c r="S18" s="87">
        <f t="shared" si="3"/>
        <v>18</v>
      </c>
      <c r="T18" s="87">
        <f t="shared" si="3"/>
        <v>19</v>
      </c>
      <c r="U18" s="87">
        <f t="shared" si="3"/>
        <v>20</v>
      </c>
    </row>
    <row r="19" spans="1:21" x14ac:dyDescent="0.2">
      <c r="A19" s="84" t="s">
        <v>182</v>
      </c>
      <c r="B19" s="86">
        <f>B12</f>
        <v>106497.91611161908</v>
      </c>
      <c r="C19" s="86">
        <f>C12</f>
        <v>112233.25611161909</v>
      </c>
      <c r="D19" s="86">
        <f t="shared" ref="D19:U19" si="4">D12</f>
        <v>118083.30291161907</v>
      </c>
      <c r="E19" s="86">
        <f t="shared" si="4"/>
        <v>124050.35064761907</v>
      </c>
      <c r="F19" s="86">
        <f t="shared" si="4"/>
        <v>130136.73933833907</v>
      </c>
      <c r="G19" s="86">
        <f t="shared" si="4"/>
        <v>136344.85580287344</v>
      </c>
      <c r="H19" s="86">
        <f t="shared" si="4"/>
        <v>142677.13459669854</v>
      </c>
      <c r="I19" s="86">
        <f t="shared" si="4"/>
        <v>149136.05896640016</v>
      </c>
      <c r="J19" s="86">
        <f t="shared" si="4"/>
        <v>155724.16182349582</v>
      </c>
      <c r="K19" s="86">
        <f t="shared" si="4"/>
        <v>162444.02673773331</v>
      </c>
      <c r="L19" s="86">
        <f t="shared" si="4"/>
        <v>169298.28895025558</v>
      </c>
      <c r="M19" s="86">
        <f t="shared" si="4"/>
        <v>176289.63640702827</v>
      </c>
      <c r="N19" s="86">
        <f t="shared" si="4"/>
        <v>183420.81081293648</v>
      </c>
      <c r="O19" s="86">
        <f t="shared" si="4"/>
        <v>190694.60870696287</v>
      </c>
      <c r="P19" s="86">
        <f t="shared" si="4"/>
        <v>198113.88255886978</v>
      </c>
      <c r="Q19" s="86">
        <f t="shared" si="4"/>
        <v>205681.54188781479</v>
      </c>
      <c r="R19" s="86">
        <f t="shared" si="4"/>
        <v>213400.55440333873</v>
      </c>
      <c r="S19" s="86">
        <f t="shared" si="4"/>
        <v>221273.94716917313</v>
      </c>
      <c r="T19" s="86">
        <f t="shared" si="4"/>
        <v>229304.80779032424</v>
      </c>
      <c r="U19" s="86">
        <f t="shared" si="4"/>
        <v>237496.28562389829</v>
      </c>
    </row>
    <row r="20" spans="1:21" x14ac:dyDescent="0.2">
      <c r="A20" s="84" t="s">
        <v>183</v>
      </c>
      <c r="B20" s="86">
        <f>B13</f>
        <v>70998.610741079392</v>
      </c>
      <c r="C20" s="86">
        <f>C13</f>
        <v>74822.170741079404</v>
      </c>
      <c r="D20" s="86">
        <f t="shared" ref="D20:U20" si="5">D13</f>
        <v>78722.201941079402</v>
      </c>
      <c r="E20" s="86">
        <f t="shared" si="5"/>
        <v>82700.233765079392</v>
      </c>
      <c r="F20" s="86">
        <f t="shared" si="5"/>
        <v>86757.826225559402</v>
      </c>
      <c r="G20" s="86">
        <f t="shared" si="5"/>
        <v>90896.57053524896</v>
      </c>
      <c r="H20" s="86">
        <f t="shared" si="5"/>
        <v>95118.089731132364</v>
      </c>
      <c r="I20" s="86">
        <f t="shared" si="5"/>
        <v>99424.03931093344</v>
      </c>
      <c r="J20" s="86">
        <f t="shared" si="5"/>
        <v>103816.10788233054</v>
      </c>
      <c r="K20" s="86">
        <f t="shared" si="5"/>
        <v>108296.01782515555</v>
      </c>
      <c r="L20" s="86">
        <f t="shared" si="5"/>
        <v>112865.52596683706</v>
      </c>
      <c r="M20" s="86">
        <f t="shared" si="5"/>
        <v>117526.4242713522</v>
      </c>
      <c r="N20" s="86">
        <f t="shared" si="5"/>
        <v>122280.54054195767</v>
      </c>
      <c r="O20" s="86">
        <f t="shared" si="5"/>
        <v>127129.73913797525</v>
      </c>
      <c r="P20" s="86">
        <f t="shared" si="5"/>
        <v>132075.92170591321</v>
      </c>
      <c r="Q20" s="86">
        <f t="shared" si="5"/>
        <v>137121.02792520987</v>
      </c>
      <c r="R20" s="86">
        <f t="shared" si="5"/>
        <v>142267.03626889249</v>
      </c>
      <c r="S20" s="86">
        <f t="shared" si="5"/>
        <v>147515.96477944878</v>
      </c>
      <c r="T20" s="86">
        <f t="shared" si="5"/>
        <v>152869.87186021617</v>
      </c>
      <c r="U20" s="86">
        <f t="shared" si="5"/>
        <v>158330.85708259887</v>
      </c>
    </row>
    <row r="21" spans="1:21" x14ac:dyDescent="0.2">
      <c r="A21" s="84" t="s">
        <v>184</v>
      </c>
      <c r="B21" s="86">
        <f>B12</f>
        <v>106497.91611161908</v>
      </c>
      <c r="C21" s="86">
        <f>B21+C12</f>
        <v>218731.17222323816</v>
      </c>
      <c r="D21" s="86">
        <f t="shared" ref="D21:U21" si="6">C21+D12</f>
        <v>336814.47513485723</v>
      </c>
      <c r="E21" s="86">
        <f t="shared" si="6"/>
        <v>460864.82578247628</v>
      </c>
      <c r="F21" s="86">
        <f t="shared" si="6"/>
        <v>591001.5651208153</v>
      </c>
      <c r="G21" s="86">
        <f t="shared" si="6"/>
        <v>727346.42092368868</v>
      </c>
      <c r="H21" s="86">
        <f t="shared" si="6"/>
        <v>870023.55552038725</v>
      </c>
      <c r="I21" s="86">
        <f t="shared" si="6"/>
        <v>1019159.6144867875</v>
      </c>
      <c r="J21" s="86">
        <f t="shared" si="6"/>
        <v>1174883.7763102832</v>
      </c>
      <c r="K21" s="86">
        <f t="shared" si="6"/>
        <v>1337327.8030480165</v>
      </c>
      <c r="L21" s="86">
        <f t="shared" si="6"/>
        <v>1506626.0919982721</v>
      </c>
      <c r="M21" s="86">
        <f t="shared" si="6"/>
        <v>1682915.7284053003</v>
      </c>
      <c r="N21" s="86">
        <f t="shared" si="6"/>
        <v>1866336.5392182367</v>
      </c>
      <c r="O21" s="86">
        <f t="shared" si="6"/>
        <v>2057031.1479251995</v>
      </c>
      <c r="P21" s="86">
        <f t="shared" si="6"/>
        <v>2255145.0304840691</v>
      </c>
      <c r="Q21" s="86">
        <f t="shared" si="6"/>
        <v>2460826.5723718838</v>
      </c>
      <c r="R21" s="86">
        <f t="shared" si="6"/>
        <v>2674227.1267752224</v>
      </c>
      <c r="S21" s="86">
        <f t="shared" si="6"/>
        <v>2895501.0739443954</v>
      </c>
      <c r="T21" s="86">
        <f t="shared" si="6"/>
        <v>3124805.8817347195</v>
      </c>
      <c r="U21" s="86">
        <f t="shared" si="6"/>
        <v>3362302.1673586178</v>
      </c>
    </row>
    <row r="22" spans="1:21" x14ac:dyDescent="0.2">
      <c r="A22" s="84" t="s">
        <v>185</v>
      </c>
      <c r="B22" s="101">
        <f>B8/B9</f>
        <v>1.5907719383405781</v>
      </c>
      <c r="C22" s="101">
        <f>C8/C9</f>
        <v>1.6225873771073898</v>
      </c>
      <c r="D22" s="101">
        <f t="shared" ref="D22:U22" si="7">D8/D9</f>
        <v>1.6550391246495375</v>
      </c>
      <c r="E22" s="101">
        <f t="shared" si="7"/>
        <v>1.6881399071425283</v>
      </c>
      <c r="F22" s="101">
        <f t="shared" si="7"/>
        <v>1.7219027052853788</v>
      </c>
      <c r="G22" s="101">
        <f t="shared" si="7"/>
        <v>1.7563407593910862</v>
      </c>
      <c r="H22" s="101">
        <f t="shared" si="7"/>
        <v>1.7914675745789079</v>
      </c>
      <c r="I22" s="101">
        <f t="shared" si="7"/>
        <v>1.8272969260704863</v>
      </c>
      <c r="J22" s="101">
        <f t="shared" si="7"/>
        <v>1.8638428645918963</v>
      </c>
      <c r="K22" s="101">
        <f t="shared" si="7"/>
        <v>1.9011197218837339</v>
      </c>
      <c r="L22" s="101">
        <f t="shared" si="7"/>
        <v>1.9391421163214084</v>
      </c>
      <c r="M22" s="101">
        <f t="shared" si="7"/>
        <v>1.9779249586478367</v>
      </c>
      <c r="N22" s="101">
        <f t="shared" si="7"/>
        <v>2.0174834578207936</v>
      </c>
      <c r="O22" s="101">
        <f t="shared" si="7"/>
        <v>2.0578331269772092</v>
      </c>
      <c r="P22" s="101">
        <f t="shared" si="7"/>
        <v>2.0989897895167537</v>
      </c>
      <c r="Q22" s="101">
        <f t="shared" si="7"/>
        <v>2.1409695853070887</v>
      </c>
      <c r="R22" s="101">
        <f t="shared" si="7"/>
        <v>2.1837889770132306</v>
      </c>
      <c r="S22" s="101">
        <f t="shared" si="7"/>
        <v>2.2274647565534957</v>
      </c>
      <c r="T22" s="101">
        <f t="shared" si="7"/>
        <v>2.2720140516845655</v>
      </c>
      <c r="U22" s="101">
        <f t="shared" si="7"/>
        <v>2.3174543327182566</v>
      </c>
    </row>
    <row r="23" spans="1:21" x14ac:dyDescent="0.2">
      <c r="A23" s="84" t="s">
        <v>186</v>
      </c>
      <c r="B23" s="101">
        <f>Assumptions!$B$34</f>
        <v>1.1000000000000001</v>
      </c>
      <c r="C23" s="101">
        <f>Assumptions!$B$34</f>
        <v>1.1000000000000001</v>
      </c>
      <c r="D23" s="101">
        <f>Assumptions!$B$34</f>
        <v>1.1000000000000001</v>
      </c>
      <c r="E23" s="101">
        <f>Assumptions!$B$34</f>
        <v>1.1000000000000001</v>
      </c>
      <c r="F23" s="101">
        <f>Assumptions!$B$34</f>
        <v>1.1000000000000001</v>
      </c>
      <c r="G23" s="101">
        <f>Assumptions!$B$34</f>
        <v>1.1000000000000001</v>
      </c>
      <c r="H23" s="101">
        <f>Assumptions!$B$34</f>
        <v>1.1000000000000001</v>
      </c>
      <c r="I23" s="101">
        <f>Assumptions!$B$34</f>
        <v>1.1000000000000001</v>
      </c>
      <c r="J23" s="101">
        <f>Assumptions!$B$34</f>
        <v>1.1000000000000001</v>
      </c>
      <c r="K23" s="101">
        <f>Assumptions!$B$34</f>
        <v>1.1000000000000001</v>
      </c>
      <c r="L23" s="101">
        <f>Assumptions!$B$34</f>
        <v>1.1000000000000001</v>
      </c>
      <c r="M23" s="101">
        <f>Assumptions!$B$34</f>
        <v>1.1000000000000001</v>
      </c>
      <c r="N23" s="101">
        <f>Assumptions!$B$34</f>
        <v>1.1000000000000001</v>
      </c>
      <c r="O23" s="101">
        <f>Assumptions!$B$34</f>
        <v>1.1000000000000001</v>
      </c>
      <c r="P23" s="101">
        <f>Assumptions!$B$34</f>
        <v>1.1000000000000001</v>
      </c>
      <c r="Q23" s="101">
        <f>Assumptions!$B$34</f>
        <v>1.1000000000000001</v>
      </c>
      <c r="R23" s="101">
        <f>Assumptions!$B$34</f>
        <v>1.1000000000000001</v>
      </c>
      <c r="S23" s="101">
        <f>Assumptions!$B$34</f>
        <v>1.1000000000000001</v>
      </c>
      <c r="T23" s="101">
        <f>Assumptions!$B$34</f>
        <v>1.1000000000000001</v>
      </c>
      <c r="U23" s="101">
        <f>Assumptions!$B$34</f>
        <v>1.1000000000000001</v>
      </c>
    </row>
    <row r="25" spans="1:21" x14ac:dyDescent="0.2">
      <c r="A25" s="84" t="s">
        <v>187</v>
      </c>
      <c r="B25">
        <f>B18</f>
        <v>1</v>
      </c>
      <c r="C25">
        <f>C18</f>
        <v>2</v>
      </c>
      <c r="D25">
        <f t="shared" ref="D25:U25" si="8">D18</f>
        <v>3</v>
      </c>
      <c r="E25">
        <f t="shared" si="8"/>
        <v>4</v>
      </c>
      <c r="F25">
        <f t="shared" si="8"/>
        <v>5</v>
      </c>
      <c r="G25">
        <f t="shared" si="8"/>
        <v>6</v>
      </c>
      <c r="H25">
        <f t="shared" si="8"/>
        <v>7</v>
      </c>
      <c r="I25">
        <f t="shared" si="8"/>
        <v>8</v>
      </c>
      <c r="J25">
        <f t="shared" si="8"/>
        <v>9</v>
      </c>
      <c r="K25">
        <f t="shared" si="8"/>
        <v>10</v>
      </c>
      <c r="L25">
        <f t="shared" si="8"/>
        <v>11</v>
      </c>
      <c r="M25">
        <f t="shared" si="8"/>
        <v>12</v>
      </c>
      <c r="N25">
        <f t="shared" si="8"/>
        <v>13</v>
      </c>
      <c r="O25">
        <f t="shared" si="8"/>
        <v>14</v>
      </c>
      <c r="P25">
        <f t="shared" si="8"/>
        <v>15</v>
      </c>
      <c r="Q25">
        <f t="shared" si="8"/>
        <v>16</v>
      </c>
      <c r="R25">
        <f t="shared" si="8"/>
        <v>17</v>
      </c>
      <c r="S25">
        <f t="shared" si="8"/>
        <v>18</v>
      </c>
      <c r="T25">
        <f t="shared" si="8"/>
        <v>19</v>
      </c>
      <c r="U25">
        <f t="shared" si="8"/>
        <v>20</v>
      </c>
    </row>
    <row r="26" spans="1:21" x14ac:dyDescent="0.2">
      <c r="A26" s="84" t="s">
        <v>184</v>
      </c>
      <c r="B26">
        <f>B21</f>
        <v>106497.91611161908</v>
      </c>
      <c r="C26">
        <f>C21</f>
        <v>218731.17222323816</v>
      </c>
      <c r="D26">
        <f t="shared" ref="D26:U26" si="9">D21</f>
        <v>336814.47513485723</v>
      </c>
      <c r="E26">
        <f t="shared" si="9"/>
        <v>460864.82578247628</v>
      </c>
      <c r="F26">
        <f t="shared" si="9"/>
        <v>591001.5651208153</v>
      </c>
      <c r="G26">
        <f t="shared" si="9"/>
        <v>727346.42092368868</v>
      </c>
      <c r="H26">
        <f t="shared" si="9"/>
        <v>870023.55552038725</v>
      </c>
      <c r="I26">
        <f t="shared" si="9"/>
        <v>1019159.6144867875</v>
      </c>
      <c r="J26">
        <f t="shared" si="9"/>
        <v>1174883.7763102832</v>
      </c>
      <c r="K26">
        <f t="shared" si="9"/>
        <v>1337327.8030480165</v>
      </c>
      <c r="L26">
        <f t="shared" si="9"/>
        <v>1506626.0919982721</v>
      </c>
      <c r="M26">
        <f t="shared" si="9"/>
        <v>1682915.7284053003</v>
      </c>
      <c r="N26">
        <f t="shared" si="9"/>
        <v>1866336.5392182367</v>
      </c>
      <c r="O26">
        <f t="shared" si="9"/>
        <v>2057031.1479251995</v>
      </c>
      <c r="P26">
        <f t="shared" si="9"/>
        <v>2255145.0304840691</v>
      </c>
      <c r="Q26">
        <f t="shared" si="9"/>
        <v>2460826.5723718838</v>
      </c>
      <c r="R26">
        <f t="shared" si="9"/>
        <v>2674227.1267752224</v>
      </c>
      <c r="S26">
        <f t="shared" si="9"/>
        <v>2895501.0739443954</v>
      </c>
      <c r="T26">
        <f t="shared" si="9"/>
        <v>3124805.8817347195</v>
      </c>
      <c r="U26">
        <f t="shared" si="9"/>
        <v>3362302.1673586178</v>
      </c>
    </row>
    <row r="28" spans="1:21" x14ac:dyDescent="0.2">
      <c r="A28" s="84" t="s">
        <v>187</v>
      </c>
      <c r="B28">
        <f>B18</f>
        <v>1</v>
      </c>
      <c r="C28">
        <f>C18</f>
        <v>2</v>
      </c>
      <c r="D28">
        <f t="shared" ref="D28:U28" si="10">D18</f>
        <v>3</v>
      </c>
      <c r="E28">
        <f t="shared" si="10"/>
        <v>4</v>
      </c>
      <c r="F28">
        <f t="shared" si="10"/>
        <v>5</v>
      </c>
      <c r="G28">
        <f t="shared" si="10"/>
        <v>6</v>
      </c>
      <c r="H28">
        <f t="shared" si="10"/>
        <v>7</v>
      </c>
      <c r="I28">
        <f t="shared" si="10"/>
        <v>8</v>
      </c>
      <c r="J28">
        <f t="shared" si="10"/>
        <v>9</v>
      </c>
      <c r="K28">
        <f t="shared" si="10"/>
        <v>10</v>
      </c>
      <c r="L28">
        <f t="shared" si="10"/>
        <v>11</v>
      </c>
      <c r="M28">
        <f t="shared" si="10"/>
        <v>12</v>
      </c>
      <c r="N28">
        <f t="shared" si="10"/>
        <v>13</v>
      </c>
      <c r="O28">
        <f t="shared" si="10"/>
        <v>14</v>
      </c>
      <c r="P28">
        <f t="shared" si="10"/>
        <v>15</v>
      </c>
      <c r="Q28">
        <f t="shared" si="10"/>
        <v>16</v>
      </c>
      <c r="R28">
        <f t="shared" si="10"/>
        <v>17</v>
      </c>
      <c r="S28">
        <f t="shared" si="10"/>
        <v>18</v>
      </c>
      <c r="T28">
        <f t="shared" si="10"/>
        <v>19</v>
      </c>
      <c r="U28">
        <f t="shared" si="10"/>
        <v>20</v>
      </c>
    </row>
    <row r="29" spans="1:21" x14ac:dyDescent="0.2">
      <c r="A29" s="84" t="s">
        <v>185</v>
      </c>
      <c r="B29" s="101">
        <f>B22</f>
        <v>1.5907719383405781</v>
      </c>
      <c r="C29" s="101">
        <f>C22</f>
        <v>1.6225873771073898</v>
      </c>
      <c r="D29" s="101">
        <f t="shared" ref="D29:U29" si="11">D22</f>
        <v>1.6550391246495375</v>
      </c>
      <c r="E29" s="101">
        <f t="shared" si="11"/>
        <v>1.6881399071425283</v>
      </c>
      <c r="F29" s="101">
        <f t="shared" si="11"/>
        <v>1.7219027052853788</v>
      </c>
      <c r="G29" s="101">
        <f t="shared" si="11"/>
        <v>1.7563407593910862</v>
      </c>
      <c r="H29" s="101">
        <f t="shared" si="11"/>
        <v>1.7914675745789079</v>
      </c>
      <c r="I29" s="101">
        <f t="shared" si="11"/>
        <v>1.8272969260704863</v>
      </c>
      <c r="J29" s="101">
        <f t="shared" si="11"/>
        <v>1.8638428645918963</v>
      </c>
      <c r="K29" s="101">
        <f t="shared" si="11"/>
        <v>1.9011197218837339</v>
      </c>
      <c r="L29" s="101">
        <f t="shared" si="11"/>
        <v>1.9391421163214084</v>
      </c>
      <c r="M29" s="101">
        <f t="shared" si="11"/>
        <v>1.9779249586478367</v>
      </c>
      <c r="N29" s="101">
        <f t="shared" si="11"/>
        <v>2.0174834578207936</v>
      </c>
      <c r="O29" s="101">
        <f t="shared" si="11"/>
        <v>2.0578331269772092</v>
      </c>
      <c r="P29" s="101">
        <f t="shared" si="11"/>
        <v>2.0989897895167537</v>
      </c>
      <c r="Q29" s="101">
        <f t="shared" si="11"/>
        <v>2.1409695853070887</v>
      </c>
      <c r="R29" s="101">
        <f t="shared" si="11"/>
        <v>2.1837889770132306</v>
      </c>
      <c r="S29" s="101">
        <f t="shared" si="11"/>
        <v>2.2274647565534957</v>
      </c>
      <c r="T29" s="101">
        <f t="shared" si="11"/>
        <v>2.2720140516845655</v>
      </c>
      <c r="U29" s="101">
        <f t="shared" si="11"/>
        <v>2.3174543327182566</v>
      </c>
    </row>
    <row r="30" spans="1:21" x14ac:dyDescent="0.2">
      <c r="A30" s="84" t="s">
        <v>188</v>
      </c>
      <c r="B30" s="101">
        <f>B23</f>
        <v>1.1000000000000001</v>
      </c>
      <c r="C30" s="101">
        <f>C23</f>
        <v>1.1000000000000001</v>
      </c>
      <c r="D30" s="101">
        <f t="shared" ref="D30:U30" si="12">D23</f>
        <v>1.1000000000000001</v>
      </c>
      <c r="E30" s="101">
        <f t="shared" si="12"/>
        <v>1.1000000000000001</v>
      </c>
      <c r="F30" s="101">
        <f t="shared" si="12"/>
        <v>1.1000000000000001</v>
      </c>
      <c r="G30" s="101">
        <f t="shared" si="12"/>
        <v>1.1000000000000001</v>
      </c>
      <c r="H30" s="101">
        <f t="shared" si="12"/>
        <v>1.1000000000000001</v>
      </c>
      <c r="I30" s="101">
        <f t="shared" si="12"/>
        <v>1.1000000000000001</v>
      </c>
      <c r="J30" s="101">
        <f t="shared" si="12"/>
        <v>1.1000000000000001</v>
      </c>
      <c r="K30" s="101">
        <f t="shared" si="12"/>
        <v>1.1000000000000001</v>
      </c>
      <c r="L30" s="101">
        <f t="shared" si="12"/>
        <v>1.1000000000000001</v>
      </c>
      <c r="M30" s="101">
        <f t="shared" si="12"/>
        <v>1.1000000000000001</v>
      </c>
      <c r="N30" s="101">
        <f t="shared" si="12"/>
        <v>1.1000000000000001</v>
      </c>
      <c r="O30" s="101">
        <f t="shared" si="12"/>
        <v>1.1000000000000001</v>
      </c>
      <c r="P30" s="101">
        <f t="shared" si="12"/>
        <v>1.1000000000000001</v>
      </c>
      <c r="Q30" s="101">
        <f t="shared" si="12"/>
        <v>1.1000000000000001</v>
      </c>
      <c r="R30" s="101">
        <f t="shared" si="12"/>
        <v>1.1000000000000001</v>
      </c>
      <c r="S30" s="101">
        <f t="shared" si="12"/>
        <v>1.1000000000000001</v>
      </c>
      <c r="T30" s="101">
        <f t="shared" si="12"/>
        <v>1.1000000000000001</v>
      </c>
      <c r="U30" s="101">
        <f t="shared" si="12"/>
        <v>1.1000000000000001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DBE68-1420-374C-8016-B9C03311BB91}">
  <dimension ref="A1:H23"/>
  <sheetViews>
    <sheetView workbookViewId="0"/>
  </sheetViews>
  <sheetFormatPr baseColWidth="10" defaultRowHeight="15" x14ac:dyDescent="0.2"/>
  <cols>
    <col min="1" max="1" width="15" customWidth="1"/>
    <col min="2" max="8" width="12.5" customWidth="1"/>
  </cols>
  <sheetData>
    <row r="1" spans="1:8" ht="19" x14ac:dyDescent="0.25">
      <c r="A1" s="45" t="s">
        <v>167</v>
      </c>
    </row>
    <row r="2" spans="1:8" x14ac:dyDescent="0.2">
      <c r="A2" s="84" t="s">
        <v>168</v>
      </c>
    </row>
    <row r="4" spans="1:8" x14ac:dyDescent="0.2">
      <c r="A4" s="93" t="s">
        <v>169</v>
      </c>
      <c r="B4" s="94">
        <v>0.02</v>
      </c>
      <c r="C4" s="94">
        <v>0.03</v>
      </c>
      <c r="D4" s="94">
        <v>0.04</v>
      </c>
      <c r="E4" s="94">
        <v>0.05</v>
      </c>
      <c r="F4" s="94">
        <v>0.06</v>
      </c>
      <c r="G4" s="94">
        <v>7.0000000000000007E-2</v>
      </c>
      <c r="H4" s="94">
        <v>0.08</v>
      </c>
    </row>
    <row r="5" spans="1:8" x14ac:dyDescent="0.2">
      <c r="A5" s="95">
        <v>2000</v>
      </c>
      <c r="B5" s="90">
        <f>(Assumptions!$B$6*$A5*12*(1-B$4)*(1-Assumptions!$B$21))/Assumptions!$E$6</f>
        <v>1.5265179922386944</v>
      </c>
      <c r="C5" s="90">
        <f>(Assumptions!$B$6*$A5*12*(1-C$4)*(1-Assumptions!$B$21))/Assumptions!$E$6</f>
        <v>1.5109412780321771</v>
      </c>
      <c r="D5" s="90">
        <f>(Assumptions!$B$6*$A5*12*(1-D$4)*(1-Assumptions!$B$21))/Assumptions!$E$6</f>
        <v>1.4953645638256599</v>
      </c>
      <c r="E5" s="90">
        <f>(Assumptions!$B$6*$A5*12*(1-E$4)*(1-Assumptions!$B$21))/Assumptions!$E$6</f>
        <v>1.4797878496191426</v>
      </c>
      <c r="F5" s="90">
        <f>(Assumptions!$B$6*$A5*12*(1-F$4)*(1-Assumptions!$B$21))/Assumptions!$E$6</f>
        <v>1.4642111354126253</v>
      </c>
      <c r="G5" s="90">
        <f>(Assumptions!$B$6*$A5*12*(1-G$4)*(1-Assumptions!$B$21))/Assumptions!$E$6</f>
        <v>1.448634421206108</v>
      </c>
      <c r="H5" s="90">
        <f>(Assumptions!$B$6*$A5*12*(1-H$4)*(1-Assumptions!$B$21))/Assumptions!$E$6</f>
        <v>1.4330577069995907</v>
      </c>
    </row>
    <row r="6" spans="1:8" x14ac:dyDescent="0.2">
      <c r="A6" s="95">
        <v>2050</v>
      </c>
      <c r="B6" s="90">
        <f>(Assumptions!$B$6*$A6*12*(1-B$4)*(1-Assumptions!$B$21))/Assumptions!$E$6</f>
        <v>1.5646809420446617</v>
      </c>
      <c r="C6" s="90">
        <f>(Assumptions!$B$6*$A6*12*(1-C$4)*(1-Assumptions!$B$21))/Assumptions!$E$6</f>
        <v>1.5487148099829815</v>
      </c>
      <c r="D6" s="90">
        <f>(Assumptions!$B$6*$A6*12*(1-D$4)*(1-Assumptions!$B$21))/Assumptions!$E$6</f>
        <v>1.5327486779213013</v>
      </c>
      <c r="E6" s="90">
        <f>(Assumptions!$B$6*$A6*12*(1-E$4)*(1-Assumptions!$B$21))/Assumptions!$E$6</f>
        <v>1.5167825458596211</v>
      </c>
      <c r="F6" s="90">
        <f>(Assumptions!$B$6*$A6*12*(1-F$4)*(1-Assumptions!$B$21))/Assumptions!$E$6</f>
        <v>1.5008164137979407</v>
      </c>
      <c r="G6" s="90">
        <f>(Assumptions!$B$6*$A6*12*(1-G$4)*(1-Assumptions!$B$21))/Assumptions!$E$6</f>
        <v>1.4848502817362605</v>
      </c>
      <c r="H6" s="90">
        <f>(Assumptions!$B$6*$A6*12*(1-H$4)*(1-Assumptions!$B$21))/Assumptions!$E$6</f>
        <v>1.4688841496745804</v>
      </c>
    </row>
    <row r="7" spans="1:8" x14ac:dyDescent="0.2">
      <c r="A7" s="95">
        <v>2100</v>
      </c>
      <c r="B7" s="90">
        <f>(Assumptions!$B$6*$A7*12*(1-B$4)*(1-Assumptions!$B$21))/Assumptions!$E$6</f>
        <v>1.6028438918506291</v>
      </c>
      <c r="C7" s="90">
        <f>(Assumptions!$B$6*$A7*12*(1-C$4)*(1-Assumptions!$B$21))/Assumptions!$E$6</f>
        <v>1.5864883419337859</v>
      </c>
      <c r="D7" s="90">
        <f>(Assumptions!$B$6*$A7*12*(1-D$4)*(1-Assumptions!$B$21))/Assumptions!$E$6</f>
        <v>1.5701327920169428</v>
      </c>
      <c r="E7" s="90">
        <f>(Assumptions!$B$6*$A7*12*(1-E$4)*(1-Assumptions!$B$21))/Assumptions!$E$6</f>
        <v>1.5537772421000997</v>
      </c>
      <c r="F7" s="90">
        <f>(Assumptions!$B$6*$A7*12*(1-F$4)*(1-Assumptions!$B$21))/Assumptions!$E$6</f>
        <v>1.5374216921832564</v>
      </c>
      <c r="G7" s="90">
        <f>(Assumptions!$B$6*$A7*12*(1-G$4)*(1-Assumptions!$B$21))/Assumptions!$E$6</f>
        <v>1.5210661422664133</v>
      </c>
      <c r="H7" s="90">
        <f>(Assumptions!$B$6*$A7*12*(1-H$4)*(1-Assumptions!$B$21))/Assumptions!$E$6</f>
        <v>1.5047105923495701</v>
      </c>
    </row>
    <row r="8" spans="1:8" x14ac:dyDescent="0.2">
      <c r="A8" s="92">
        <v>2150</v>
      </c>
      <c r="B8" s="90">
        <f>(Assumptions!$B$6*$A8*12*(1-B$4)*(1-Assumptions!$B$21))/Assumptions!$E$6</f>
        <v>1.6410068416565964</v>
      </c>
      <c r="C8" s="90">
        <f>(Assumptions!$B$6*$A8*12*(1-C$4)*(1-Assumptions!$B$21))/Assumptions!$E$6</f>
        <v>1.6242618738845904</v>
      </c>
      <c r="D8" s="90">
        <f>(Assumptions!$B$6*$A8*12*(1-D$4)*(1-Assumptions!$B$21))/Assumptions!$E$6</f>
        <v>1.6075169061125842</v>
      </c>
      <c r="E8" s="91">
        <f>(Assumptions!$B$6*$A8*12*(1-E$4)*(1-Assumptions!$B$21))/Assumptions!$E$6</f>
        <v>1.5907719383405781</v>
      </c>
      <c r="F8" s="90">
        <f>(Assumptions!$B$6*$A8*12*(1-F$4)*(1-Assumptions!$B$21))/Assumptions!$E$6</f>
        <v>1.5740269705685721</v>
      </c>
      <c r="G8" s="90">
        <f>(Assumptions!$B$6*$A8*12*(1-G$4)*(1-Assumptions!$B$21))/Assumptions!$E$6</f>
        <v>1.5572820027965659</v>
      </c>
      <c r="H8" s="90">
        <f>(Assumptions!$B$6*$A8*12*(1-H$4)*(1-Assumptions!$B$21))/Assumptions!$E$6</f>
        <v>1.54053703502456</v>
      </c>
    </row>
    <row r="9" spans="1:8" x14ac:dyDescent="0.2">
      <c r="A9" s="95">
        <v>2200</v>
      </c>
      <c r="B9" s="90">
        <f>(Assumptions!$B$6*$A9*12*(1-B$4)*(1-Assumptions!$B$21))/Assumptions!$E$6</f>
        <v>1.6791697914625638</v>
      </c>
      <c r="C9" s="90">
        <f>(Assumptions!$B$6*$A9*12*(1-C$4)*(1-Assumptions!$B$21))/Assumptions!$E$6</f>
        <v>1.6620354058353948</v>
      </c>
      <c r="D9" s="90">
        <f>(Assumptions!$B$6*$A9*12*(1-D$4)*(1-Assumptions!$B$21))/Assumptions!$E$6</f>
        <v>1.6449010202082257</v>
      </c>
      <c r="E9" s="90">
        <f>(Assumptions!$B$6*$A9*12*(1-E$4)*(1-Assumptions!$B$21))/Assumptions!$E$6</f>
        <v>1.6277666345810566</v>
      </c>
      <c r="F9" s="90">
        <f>(Assumptions!$B$6*$A9*12*(1-F$4)*(1-Assumptions!$B$21))/Assumptions!$E$6</f>
        <v>1.6106322489538878</v>
      </c>
      <c r="G9" s="90">
        <f>(Assumptions!$B$6*$A9*12*(1-G$4)*(1-Assumptions!$B$21))/Assumptions!$E$6</f>
        <v>1.5934978633267187</v>
      </c>
      <c r="H9" s="90">
        <f>(Assumptions!$B$6*$A9*12*(1-H$4)*(1-Assumptions!$B$21))/Assumptions!$E$6</f>
        <v>1.5763634776995497</v>
      </c>
    </row>
    <row r="10" spans="1:8" x14ac:dyDescent="0.2">
      <c r="A10" s="95">
        <v>2250</v>
      </c>
      <c r="B10" s="90">
        <f>(Assumptions!$B$6*$A10*12*(1-B$4)*(1-Assumptions!$B$21))/Assumptions!$E$6</f>
        <v>1.7173327412685311</v>
      </c>
      <c r="C10" s="90">
        <f>(Assumptions!$B$6*$A10*12*(1-C$4)*(1-Assumptions!$B$21))/Assumptions!$E$6</f>
        <v>1.6998089377861991</v>
      </c>
      <c r="D10" s="90">
        <f>(Assumptions!$B$6*$A10*12*(1-D$4)*(1-Assumptions!$B$21))/Assumptions!$E$6</f>
        <v>1.6822851343038672</v>
      </c>
      <c r="E10" s="90">
        <f>(Assumptions!$B$6*$A10*12*(1-E$4)*(1-Assumptions!$B$21))/Assumptions!$E$6</f>
        <v>1.6647613308215352</v>
      </c>
      <c r="F10" s="90">
        <f>(Assumptions!$B$6*$A10*12*(1-F$4)*(1-Assumptions!$B$21))/Assumptions!$E$6</f>
        <v>1.6472375273392033</v>
      </c>
      <c r="G10" s="90">
        <f>(Assumptions!$B$6*$A10*12*(1-G$4)*(1-Assumptions!$B$21))/Assumptions!$E$6</f>
        <v>1.6297137238568713</v>
      </c>
      <c r="H10" s="90">
        <f>(Assumptions!$B$6*$A10*12*(1-H$4)*(1-Assumptions!$B$21))/Assumptions!$E$6</f>
        <v>1.6121899203745393</v>
      </c>
    </row>
    <row r="11" spans="1:8" x14ac:dyDescent="0.2">
      <c r="A11" s="95">
        <v>2300</v>
      </c>
      <c r="B11" s="90">
        <f>(Assumptions!$B$6*$A11*12*(1-B$4)*(1-Assumptions!$B$21))/Assumptions!$E$6</f>
        <v>1.7554956910744985</v>
      </c>
      <c r="C11" s="90">
        <f>(Assumptions!$B$6*$A11*12*(1-C$4)*(1-Assumptions!$B$21))/Assumptions!$E$6</f>
        <v>1.7375824697370037</v>
      </c>
      <c r="D11" s="90">
        <f>(Assumptions!$B$6*$A11*12*(1-D$4)*(1-Assumptions!$B$21))/Assumptions!$E$6</f>
        <v>1.7196692483995086</v>
      </c>
      <c r="E11" s="90">
        <f>(Assumptions!$B$6*$A11*12*(1-E$4)*(1-Assumptions!$B$21))/Assumptions!$E$6</f>
        <v>1.7017560270620138</v>
      </c>
      <c r="F11" s="90">
        <f>(Assumptions!$B$6*$A11*12*(1-F$4)*(1-Assumptions!$B$21))/Assumptions!$E$6</f>
        <v>1.6838428057245189</v>
      </c>
      <c r="G11" s="90">
        <f>(Assumptions!$B$6*$A11*12*(1-G$4)*(1-Assumptions!$B$21))/Assumptions!$E$6</f>
        <v>1.6659295843870241</v>
      </c>
      <c r="H11" s="90">
        <f>(Assumptions!$B$6*$A11*12*(1-H$4)*(1-Assumptions!$B$21))/Assumptions!$E$6</f>
        <v>1.6480163630495293</v>
      </c>
    </row>
    <row r="14" spans="1:8" x14ac:dyDescent="0.2">
      <c r="A14" s="84" t="s">
        <v>170</v>
      </c>
    </row>
    <row r="16" spans="1:8" x14ac:dyDescent="0.2">
      <c r="A16" s="93" t="s">
        <v>171</v>
      </c>
      <c r="B16" s="94">
        <v>0.01</v>
      </c>
      <c r="C16" s="94">
        <v>1.4999999999999999E-2</v>
      </c>
      <c r="D16" s="94">
        <v>0.02</v>
      </c>
      <c r="E16" s="94">
        <v>2.5000000000000001E-2</v>
      </c>
      <c r="F16" s="94">
        <v>0.03</v>
      </c>
      <c r="G16" s="94">
        <v>3.5000000000000003E-2</v>
      </c>
      <c r="H16" s="94">
        <v>0.04</v>
      </c>
    </row>
    <row r="17" spans="1:8" x14ac:dyDescent="0.2">
      <c r="A17" s="95">
        <v>2000</v>
      </c>
      <c r="B17" s="96">
        <f>Assumptions!$B$22*(Assumptions!$B$6*$A17*12*(1-Assumptions!$B$20)*(1-Assumptions!$B$21)*((1+B$16)^Assumptions!$B$35-1)/B$16-Assumptions!$E$6*Assumptions!$B$35)</f>
        <v>2268407.82788435</v>
      </c>
      <c r="C17" s="96">
        <f>Assumptions!$B$22*(Assumptions!$B$6*$A17*12*(1-Assumptions!$B$20)*(1-Assumptions!$B$21)*((1+C$16)^Assumptions!$B$35-1)/C$16-Assumptions!$E$6*Assumptions!$B$35)</f>
        <v>2563087.7587185106</v>
      </c>
      <c r="D17" s="96">
        <f>Assumptions!$B$22*(Assumptions!$B$6*$A17*12*(1-Assumptions!$B$20)*(1-Assumptions!$B$21)*((1+D$16)^Assumptions!$B$35-1)/D$16-Assumptions!$E$6*Assumptions!$B$35)</f>
        <v>2876184.6897916715</v>
      </c>
      <c r="E17" s="96">
        <f>Assumptions!$B$22*(Assumptions!$B$6*$A17*12*(1-Assumptions!$B$20)*(1-Assumptions!$B$21)*((1+E$16)^Assumptions!$B$35-1)/E$16-Assumptions!$E$6*Assumptions!$B$35)</f>
        <v>3208911.1867070175</v>
      </c>
      <c r="F17" s="96">
        <f>Assumptions!$B$22*(Assumptions!$B$6*$A17*12*(1-Assumptions!$B$20)*(1-Assumptions!$B$21)*((1+F$16)^Assumptions!$B$35-1)/F$16-Assumptions!$E$6*Assumptions!$B$35)</f>
        <v>3562559.4209128055</v>
      </c>
      <c r="G17" s="96">
        <f>Assumptions!$B$22*(Assumptions!$B$6*$A17*12*(1-Assumptions!$B$20)*(1-Assumptions!$B$21)*((1+G$16)^Assumptions!$B$35-1)/G$16-Assumptions!$E$6*Assumptions!$B$35)</f>
        <v>3938506.2427509008</v>
      </c>
      <c r="H17" s="96">
        <f>Assumptions!$B$22*(Assumptions!$B$6*$A17*12*(1-Assumptions!$B$20)*(1-Assumptions!$B$21)*((1+H$16)^Assumptions!$B$35-1)/H$16-Assumptions!$E$6*Assumptions!$B$35)</f>
        <v>4338218.5631222688</v>
      </c>
    </row>
    <row r="18" spans="1:8" x14ac:dyDescent="0.2">
      <c r="A18" s="95">
        <v>2050</v>
      </c>
      <c r="B18" s="96">
        <f>Assumptions!$B$22*(Assumptions!$B$6*$A18*12*(1-Assumptions!$B$20)*(1-Assumptions!$B$21)*((1+B$16)^Assumptions!$B$35-1)/B$16-Assumptions!$E$6*Assumptions!$B$35)</f>
        <v>2415252.5655256496</v>
      </c>
      <c r="C18" s="96">
        <f>Assumptions!$B$22*(Assumptions!$B$6*$A18*12*(1-Assumptions!$B$20)*(1-Assumptions!$B$21)*((1+C$16)^Assumptions!$B$35-1)/C$16-Assumptions!$E$6*Assumptions!$B$35)</f>
        <v>2717299.4946306627</v>
      </c>
      <c r="D18" s="96">
        <f>Assumptions!$B$22*(Assumptions!$B$6*$A18*12*(1-Assumptions!$B$20)*(1-Assumptions!$B$21)*((1+D$16)^Assumptions!$B$35-1)/D$16-Assumptions!$E$6*Assumptions!$B$35)</f>
        <v>3038223.8489806522</v>
      </c>
      <c r="E18" s="96">
        <f>Assumptions!$B$22*(Assumptions!$B$6*$A18*12*(1-Assumptions!$B$20)*(1-Assumptions!$B$21)*((1+E$16)^Assumptions!$B$35-1)/E$16-Assumptions!$E$6*Assumptions!$B$35)</f>
        <v>3379268.5083188838</v>
      </c>
      <c r="F18" s="96">
        <f>Assumptions!$B$22*(Assumptions!$B$6*$A18*12*(1-Assumptions!$B$20)*(1-Assumptions!$B$21)*((1+F$16)^Assumptions!$B$35-1)/F$16-Assumptions!$E$6*Assumptions!$B$35)</f>
        <v>3741757.9483798142</v>
      </c>
      <c r="G18" s="96">
        <f>Assumptions!$B$22*(Assumptions!$B$6*$A18*12*(1-Assumptions!$B$20)*(1-Assumptions!$B$21)*((1+G$16)^Assumptions!$B$35-1)/G$16-Assumptions!$E$6*Assumptions!$B$35)</f>
        <v>4127103.4407638637</v>
      </c>
      <c r="H18" s="96">
        <f>Assumptions!$B$22*(Assumptions!$B$6*$A18*12*(1-Assumptions!$B$20)*(1-Assumptions!$B$21)*((1+H$16)^Assumptions!$B$35-1)/H$16-Assumptions!$E$6*Assumptions!$B$35)</f>
        <v>4536808.5691445144</v>
      </c>
    </row>
    <row r="19" spans="1:8" x14ac:dyDescent="0.2">
      <c r="A19" s="95">
        <v>2100</v>
      </c>
      <c r="B19" s="96">
        <f>Assumptions!$B$22*(Assumptions!$B$6*$A19*12*(1-Assumptions!$B$20)*(1-Assumptions!$B$21)*((1+B$16)^Assumptions!$B$35-1)/B$16-Assumptions!$E$6*Assumptions!$B$35)</f>
        <v>2562097.3031669492</v>
      </c>
      <c r="C19" s="96">
        <f>Assumptions!$B$22*(Assumptions!$B$6*$A19*12*(1-Assumptions!$B$20)*(1-Assumptions!$B$21)*((1+C$16)^Assumptions!$B$35-1)/C$16-Assumptions!$E$6*Assumptions!$B$35)</f>
        <v>2871511.2305428176</v>
      </c>
      <c r="D19" s="96">
        <f>Assumptions!$B$22*(Assumptions!$B$6*$A19*12*(1-Assumptions!$B$20)*(1-Assumptions!$B$21)*((1+D$16)^Assumptions!$B$35-1)/D$16-Assumptions!$E$6*Assumptions!$B$35)</f>
        <v>3200263.0081696343</v>
      </c>
      <c r="E19" s="96">
        <f>Assumptions!$B$22*(Assumptions!$B$6*$A19*12*(1-Assumptions!$B$20)*(1-Assumptions!$B$21)*((1+E$16)^Assumptions!$B$35-1)/E$16-Assumptions!$E$6*Assumptions!$B$35)</f>
        <v>3549625.8299307497</v>
      </c>
      <c r="F19" s="96">
        <f>Assumptions!$B$22*(Assumptions!$B$6*$A19*12*(1-Assumptions!$B$20)*(1-Assumptions!$B$21)*((1+F$16)^Assumptions!$B$35-1)/F$16-Assumptions!$E$6*Assumptions!$B$35)</f>
        <v>3920956.4758468256</v>
      </c>
      <c r="G19" s="96">
        <f>Assumptions!$B$22*(Assumptions!$B$6*$A19*12*(1-Assumptions!$B$20)*(1-Assumptions!$B$21)*((1+G$16)^Assumptions!$B$35-1)/G$16-Assumptions!$E$6*Assumptions!$B$35)</f>
        <v>4315700.6387768257</v>
      </c>
      <c r="H19" s="96">
        <f>Assumptions!$B$22*(Assumptions!$B$6*$A19*12*(1-Assumptions!$B$20)*(1-Assumptions!$B$21)*((1+H$16)^Assumptions!$B$35-1)/H$16-Assumptions!$E$6*Assumptions!$B$35)</f>
        <v>4735398.5751667628</v>
      </c>
    </row>
    <row r="20" spans="1:8" x14ac:dyDescent="0.2">
      <c r="A20" s="92">
        <v>2150</v>
      </c>
      <c r="B20" s="96">
        <f>Assumptions!$B$22*(Assumptions!$B$6*$A20*12*(1-Assumptions!$B$20)*(1-Assumptions!$B$21)*((1+B$16)^Assumptions!$B$35-1)/B$16-Assumptions!$E$6*Assumptions!$B$35)</f>
        <v>2708942.0408082474</v>
      </c>
      <c r="C20" s="96">
        <f>Assumptions!$B$22*(Assumptions!$B$6*$A20*12*(1-Assumptions!$B$20)*(1-Assumptions!$B$21)*((1+C$16)^Assumptions!$B$35-1)/C$16-Assumptions!$E$6*Assumptions!$B$35)</f>
        <v>3025722.9664549697</v>
      </c>
      <c r="D20" s="97">
        <f>Assumptions!$B$22*(Assumptions!$B$6*$A20*12*(1-Assumptions!$B$20)*(1-Assumptions!$B$21)*((1+D$16)^Assumptions!$B$35-1)/D$16-Assumptions!$E$6*Assumptions!$B$35)</f>
        <v>3362302.1673586178</v>
      </c>
      <c r="E20" s="96">
        <f>Assumptions!$B$22*(Assumptions!$B$6*$A20*12*(1-Assumptions!$B$20)*(1-Assumptions!$B$21)*((1+E$16)^Assumptions!$B$35-1)/E$16-Assumptions!$E$6*Assumptions!$B$35)</f>
        <v>3719983.1515426156</v>
      </c>
      <c r="F20" s="96">
        <f>Assumptions!$B$22*(Assumptions!$B$6*$A20*12*(1-Assumptions!$B$20)*(1-Assumptions!$B$21)*((1+F$16)^Assumptions!$B$35-1)/F$16-Assumptions!$E$6*Assumptions!$B$35)</f>
        <v>4100155.0033138366</v>
      </c>
      <c r="G20" s="96">
        <f>Assumptions!$B$22*(Assumptions!$B$6*$A20*12*(1-Assumptions!$B$20)*(1-Assumptions!$B$21)*((1+G$16)^Assumptions!$B$35-1)/G$16-Assumptions!$E$6*Assumptions!$B$35)</f>
        <v>4504297.8367897905</v>
      </c>
      <c r="H20" s="96">
        <f>Assumptions!$B$22*(Assumptions!$B$6*$A20*12*(1-Assumptions!$B$20)*(1-Assumptions!$B$21)*((1+H$16)^Assumptions!$B$35-1)/H$16-Assumptions!$E$6*Assumptions!$B$35)</f>
        <v>4933988.5811890084</v>
      </c>
    </row>
    <row r="21" spans="1:8" x14ac:dyDescent="0.2">
      <c r="A21" s="95">
        <v>2200</v>
      </c>
      <c r="B21" s="96">
        <f>Assumptions!$B$22*(Assumptions!$B$6*$A21*12*(1-Assumptions!$B$20)*(1-Assumptions!$B$21)*((1+B$16)^Assumptions!$B$35-1)/B$16-Assumptions!$E$6*Assumptions!$B$35)</f>
        <v>2855786.7784495479</v>
      </c>
      <c r="C21" s="96">
        <f>Assumptions!$B$22*(Assumptions!$B$6*$A21*12*(1-Assumptions!$B$20)*(1-Assumptions!$B$21)*((1+C$16)^Assumptions!$B$35-1)/C$16-Assumptions!$E$6*Assumptions!$B$35)</f>
        <v>3179934.7023671223</v>
      </c>
      <c r="D21" s="96">
        <f>Assumptions!$B$22*(Assumptions!$B$6*$A21*12*(1-Assumptions!$B$20)*(1-Assumptions!$B$21)*((1+D$16)^Assumptions!$B$35-1)/D$16-Assumptions!$E$6*Assumptions!$B$35)</f>
        <v>3524341.3265475985</v>
      </c>
      <c r="E21" s="96">
        <f>Assumptions!$B$22*(Assumptions!$B$6*$A21*12*(1-Assumptions!$B$20)*(1-Assumptions!$B$21)*((1+E$16)^Assumptions!$B$35-1)/E$16-Assumptions!$E$6*Assumptions!$B$35)</f>
        <v>3890340.4731544824</v>
      </c>
      <c r="F21" s="96">
        <f>Assumptions!$B$22*(Assumptions!$B$6*$A21*12*(1-Assumptions!$B$20)*(1-Assumptions!$B$21)*((1+F$16)^Assumptions!$B$35-1)/F$16-Assumptions!$E$6*Assumptions!$B$35)</f>
        <v>4279353.5307808472</v>
      </c>
      <c r="G21" s="96">
        <f>Assumptions!$B$22*(Assumptions!$B$6*$A21*12*(1-Assumptions!$B$20)*(1-Assumptions!$B$21)*((1+G$16)^Assumptions!$B$35-1)/G$16-Assumptions!$E$6*Assumptions!$B$35)</f>
        <v>4692895.0348027525</v>
      </c>
      <c r="H21" s="96">
        <f>Assumptions!$B$22*(Assumptions!$B$6*$A21*12*(1-Assumptions!$B$20)*(1-Assumptions!$B$21)*((1+H$16)^Assumptions!$B$35-1)/H$16-Assumptions!$E$6*Assumptions!$B$35)</f>
        <v>5132578.5872112568</v>
      </c>
    </row>
    <row r="22" spans="1:8" x14ac:dyDescent="0.2">
      <c r="A22" s="95">
        <v>2250</v>
      </c>
      <c r="B22" s="96">
        <f>Assumptions!$B$22*(Assumptions!$B$6*$A22*12*(1-Assumptions!$B$20)*(1-Assumptions!$B$21)*((1+B$16)^Assumptions!$B$35-1)/B$16-Assumptions!$E$6*Assumptions!$B$35)</f>
        <v>3002631.5160908466</v>
      </c>
      <c r="C22" s="96">
        <f>Assumptions!$B$22*(Assumptions!$B$6*$A22*12*(1-Assumptions!$B$20)*(1-Assumptions!$B$21)*((1+C$16)^Assumptions!$B$35-1)/C$16-Assumptions!$E$6*Assumptions!$B$35)</f>
        <v>3334146.4382792767</v>
      </c>
      <c r="D22" s="96">
        <f>Assumptions!$B$22*(Assumptions!$B$6*$A22*12*(1-Assumptions!$B$20)*(1-Assumptions!$B$21)*((1+D$16)^Assumptions!$B$35-1)/D$16-Assumptions!$E$6*Assumptions!$B$35)</f>
        <v>3686380.485736582</v>
      </c>
      <c r="E22" s="96">
        <f>Assumptions!$B$22*(Assumptions!$B$6*$A22*12*(1-Assumptions!$B$20)*(1-Assumptions!$B$21)*((1+E$16)^Assumptions!$B$35-1)/E$16-Assumptions!$E$6*Assumptions!$B$35)</f>
        <v>4060697.7947663474</v>
      </c>
      <c r="F22" s="96">
        <f>Assumptions!$B$22*(Assumptions!$B$6*$A22*12*(1-Assumptions!$B$20)*(1-Assumptions!$B$21)*((1+F$16)^Assumptions!$B$35-1)/F$16-Assumptions!$E$6*Assumptions!$B$35)</f>
        <v>4458552.0582478568</v>
      </c>
      <c r="G22" s="96">
        <f>Assumptions!$B$22*(Assumptions!$B$6*$A22*12*(1-Assumptions!$B$20)*(1-Assumptions!$B$21)*((1+G$16)^Assumptions!$B$35-1)/G$16-Assumptions!$E$6*Assumptions!$B$35)</f>
        <v>4881492.2328157164</v>
      </c>
      <c r="H22" s="96">
        <f>Assumptions!$B$22*(Assumptions!$B$6*$A22*12*(1-Assumptions!$B$20)*(1-Assumptions!$B$21)*((1+H$16)^Assumptions!$B$35-1)/H$16-Assumptions!$E$6*Assumptions!$B$35)</f>
        <v>5331168.5932335043</v>
      </c>
    </row>
    <row r="23" spans="1:8" x14ac:dyDescent="0.2">
      <c r="A23" s="95">
        <v>2300</v>
      </c>
      <c r="B23" s="96">
        <f>Assumptions!$B$22*(Assumptions!$B$6*$A23*12*(1-Assumptions!$B$20)*(1-Assumptions!$B$21)*((1+B$16)^Assumptions!$B$35-1)/B$16-Assumptions!$E$6*Assumptions!$B$35)</f>
        <v>3149476.2537321448</v>
      </c>
      <c r="C23" s="96">
        <f>Assumptions!$B$22*(Assumptions!$B$6*$A23*12*(1-Assumptions!$B$20)*(1-Assumptions!$B$21)*((1+C$16)^Assumptions!$B$35-1)/C$16-Assumptions!$E$6*Assumptions!$B$35)</f>
        <v>3488358.1741914293</v>
      </c>
      <c r="D23" s="96">
        <f>Assumptions!$B$22*(Assumptions!$B$6*$A23*12*(1-Assumptions!$B$20)*(1-Assumptions!$B$21)*((1+D$16)^Assumptions!$B$35-1)/D$16-Assumptions!$E$6*Assumptions!$B$35)</f>
        <v>3848419.6449255636</v>
      </c>
      <c r="E23" s="96">
        <f>Assumptions!$B$22*(Assumptions!$B$6*$A23*12*(1-Assumptions!$B$20)*(1-Assumptions!$B$21)*((1+E$16)^Assumptions!$B$35-1)/E$16-Assumptions!$E$6*Assumptions!$B$35)</f>
        <v>4231055.1163782133</v>
      </c>
      <c r="F23" s="96">
        <f>Assumptions!$B$22*(Assumptions!$B$6*$A23*12*(1-Assumptions!$B$20)*(1-Assumptions!$B$21)*((1+F$16)^Assumptions!$B$35-1)/F$16-Assumptions!$E$6*Assumptions!$B$35)</f>
        <v>4637750.5857148683</v>
      </c>
      <c r="G23" s="96">
        <f>Assumptions!$B$22*(Assumptions!$B$6*$A23*12*(1-Assumptions!$B$20)*(1-Assumptions!$B$21)*((1+G$16)^Assumptions!$B$35-1)/G$16-Assumptions!$E$6*Assumptions!$B$35)</f>
        <v>5070089.4308286775</v>
      </c>
      <c r="H23" s="96">
        <f>Assumptions!$B$22*(Assumptions!$B$6*$A23*12*(1-Assumptions!$B$20)*(1-Assumptions!$B$21)*((1+H$16)^Assumptions!$B$35-1)/H$16-Assumptions!$E$6*Assumptions!$B$35)</f>
        <v>5529758.5992557509</v>
      </c>
    </row>
  </sheetData>
  <conditionalFormatting sqref="B5:H11">
    <cfRule type="cellIs" dxfId="1" priority="1" operator="lessThan">
      <formula>1.1</formula>
    </cfRule>
  </conditionalFormatting>
  <conditionalFormatting sqref="B5:H11">
    <cfRule type="cellIs" dxfId="0" priority="2" operator="greaterThanOrEqual">
      <formula>1.3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1"/>
  <sheetViews>
    <sheetView workbookViewId="0">
      <selection sqref="A1:E1"/>
    </sheetView>
  </sheetViews>
  <sheetFormatPr baseColWidth="10" defaultColWidth="8.83203125" defaultRowHeight="15" x14ac:dyDescent="0.2"/>
  <cols>
    <col min="1" max="1" width="38" customWidth="1"/>
    <col min="2" max="2" width="12" customWidth="1"/>
    <col min="3" max="3" width="16" customWidth="1"/>
    <col min="4" max="4" width="18" customWidth="1"/>
    <col min="5" max="5" width="32" customWidth="1"/>
  </cols>
  <sheetData>
    <row r="1" spans="1:5" ht="28" customHeight="1" x14ac:dyDescent="0.2">
      <c r="A1" s="29" t="s">
        <v>94</v>
      </c>
      <c r="B1" s="21"/>
      <c r="C1" s="21"/>
      <c r="D1" s="21"/>
      <c r="E1" s="21"/>
    </row>
    <row r="3" spans="1:5" x14ac:dyDescent="0.2">
      <c r="A3" s="12" t="s">
        <v>95</v>
      </c>
      <c r="B3" s="12" t="s">
        <v>96</v>
      </c>
      <c r="C3" s="12" t="s">
        <v>145</v>
      </c>
      <c r="D3" s="12" t="s">
        <v>97</v>
      </c>
      <c r="E3" s="12" t="s">
        <v>98</v>
      </c>
    </row>
    <row r="4" spans="1:5" x14ac:dyDescent="0.2">
      <c r="A4" s="13" t="s">
        <v>99</v>
      </c>
      <c r="B4" s="14" t="s">
        <v>100</v>
      </c>
      <c r="C4" s="72">
        <f>Assumptions!B13</f>
        <v>1400000</v>
      </c>
      <c r="D4" s="74">
        <f>C4</f>
        <v>1400000</v>
      </c>
      <c r="E4" s="13" t="s">
        <v>101</v>
      </c>
    </row>
    <row r="5" spans="1:5" x14ac:dyDescent="0.2">
      <c r="A5" s="3" t="s">
        <v>102</v>
      </c>
      <c r="B5" s="15" t="s">
        <v>62</v>
      </c>
      <c r="C5" s="66">
        <f>'Pro Forma'!B12</f>
        <v>106497.91611161908</v>
      </c>
      <c r="D5" s="40">
        <f>D4+C5</f>
        <v>1506497.916111619</v>
      </c>
      <c r="E5" s="3" t="s">
        <v>103</v>
      </c>
    </row>
    <row r="6" spans="1:5" x14ac:dyDescent="0.2">
      <c r="A6" s="3" t="s">
        <v>146</v>
      </c>
      <c r="B6" s="15" t="s">
        <v>66</v>
      </c>
      <c r="C6" s="66">
        <f>SUM('Pro Forma'!C12:F12)</f>
        <v>484503.64900919632</v>
      </c>
      <c r="D6" s="40">
        <f>D5+C6</f>
        <v>1991001.5651208153</v>
      </c>
      <c r="E6" s="3" t="s">
        <v>104</v>
      </c>
    </row>
    <row r="7" spans="1:5" x14ac:dyDescent="0.2">
      <c r="A7" s="3" t="s">
        <v>147</v>
      </c>
      <c r="B7" s="15" t="s">
        <v>71</v>
      </c>
      <c r="C7" s="66">
        <f>SUM('Pro Forma'!G12:K12)</f>
        <v>746326.2379272012</v>
      </c>
      <c r="D7" s="40">
        <f>D6+C7</f>
        <v>2737327.8030480165</v>
      </c>
      <c r="E7" s="3" t="s">
        <v>105</v>
      </c>
    </row>
    <row r="8" spans="1:5" x14ac:dyDescent="0.2">
      <c r="A8" s="3" t="s">
        <v>148</v>
      </c>
      <c r="B8" s="15" t="s">
        <v>76</v>
      </c>
      <c r="C8" s="66">
        <f>SUM('Pro Forma'!L12:P12)</f>
        <v>917817.22743605298</v>
      </c>
      <c r="D8" s="40">
        <f>D7+C8</f>
        <v>3655145.0304840696</v>
      </c>
      <c r="E8" s="3" t="s">
        <v>106</v>
      </c>
    </row>
    <row r="9" spans="1:5" x14ac:dyDescent="0.2">
      <c r="A9" s="3" t="s">
        <v>149</v>
      </c>
      <c r="B9" s="15" t="s">
        <v>81</v>
      </c>
      <c r="C9" s="66">
        <f>SUM('Pro Forma'!Q12:U12)</f>
        <v>1107157.1368745491</v>
      </c>
      <c r="D9" s="40">
        <f>D8+C9</f>
        <v>4762302.1673586182</v>
      </c>
      <c r="E9" s="3" t="s">
        <v>107</v>
      </c>
    </row>
    <row r="10" spans="1:5" x14ac:dyDescent="0.2">
      <c r="A10" s="13" t="s">
        <v>9</v>
      </c>
      <c r="B10" s="14" t="s">
        <v>81</v>
      </c>
      <c r="C10" s="72">
        <f>Dashboard!B11</f>
        <v>600000</v>
      </c>
      <c r="D10" s="74">
        <f>D9+C10</f>
        <v>5362302.1673586182</v>
      </c>
      <c r="E10" s="13" t="s">
        <v>108</v>
      </c>
    </row>
    <row r="11" spans="1:5" x14ac:dyDescent="0.2">
      <c r="A11" s="16" t="s">
        <v>109</v>
      </c>
      <c r="B11" s="33"/>
      <c r="C11" s="73"/>
      <c r="D11" s="75">
        <f>D10</f>
        <v>5362302.1673586182</v>
      </c>
      <c r="E11" s="17" t="s">
        <v>110</v>
      </c>
    </row>
    <row r="13" spans="1:5" x14ac:dyDescent="0.2">
      <c r="A13" s="24" t="s">
        <v>111</v>
      </c>
      <c r="B13" s="21"/>
      <c r="C13" s="21"/>
      <c r="D13" s="21"/>
      <c r="E13" s="21"/>
    </row>
    <row r="14" spans="1:5" x14ac:dyDescent="0.2">
      <c r="A14" s="11" t="s">
        <v>112</v>
      </c>
      <c r="B14" s="53">
        <v>1200000</v>
      </c>
      <c r="C14" s="21"/>
      <c r="D14" s="21"/>
    </row>
    <row r="15" spans="1:5" x14ac:dyDescent="0.2">
      <c r="A15" s="11" t="s">
        <v>113</v>
      </c>
      <c r="B15" s="53">
        <v>1600000</v>
      </c>
      <c r="C15" s="21"/>
      <c r="D15" s="21"/>
    </row>
    <row r="16" spans="1:5" x14ac:dyDescent="0.2">
      <c r="A16" s="11" t="s">
        <v>114</v>
      </c>
      <c r="B16" s="53">
        <v>2000000</v>
      </c>
      <c r="C16" s="21"/>
      <c r="D16" s="21"/>
    </row>
    <row r="17" spans="1:22" x14ac:dyDescent="0.2">
      <c r="A17" s="11" t="s">
        <v>115</v>
      </c>
      <c r="B17" s="32"/>
      <c r="C17" s="21"/>
      <c r="D17" s="21"/>
    </row>
    <row r="18" spans="1:22" x14ac:dyDescent="0.2">
      <c r="A18" s="11" t="s">
        <v>116</v>
      </c>
      <c r="B18" s="69">
        <f>Assumptions!B13</f>
        <v>1400000</v>
      </c>
      <c r="C18" s="21"/>
      <c r="D18" s="21"/>
    </row>
    <row r="19" spans="1:22" x14ac:dyDescent="0.2">
      <c r="A19" s="11" t="s">
        <v>117</v>
      </c>
      <c r="B19" s="69">
        <f>'Pro Forma'!V12</f>
        <v>3362302.1673586178</v>
      </c>
      <c r="C19" s="21"/>
      <c r="D19" s="21"/>
    </row>
    <row r="20" spans="1:22" x14ac:dyDescent="0.2">
      <c r="A20" s="11" t="s">
        <v>118</v>
      </c>
      <c r="B20" s="69">
        <f>Dashboard!B11</f>
        <v>600000</v>
      </c>
      <c r="C20" s="21"/>
      <c r="D20" s="21"/>
    </row>
    <row r="21" spans="1:22" x14ac:dyDescent="0.2">
      <c r="A21" s="11" t="s">
        <v>119</v>
      </c>
      <c r="B21" s="70">
        <f>B18+B19+B20</f>
        <v>5362302.1673586182</v>
      </c>
      <c r="C21" s="21"/>
      <c r="D21" s="21"/>
    </row>
    <row r="22" spans="1:22" x14ac:dyDescent="0.2">
      <c r="A22" s="18" t="s">
        <v>120</v>
      </c>
      <c r="B22" s="71">
        <f>B21-(B14+B15)/2</f>
        <v>3962302.1673586182</v>
      </c>
      <c r="C22" s="21"/>
      <c r="D22" s="21"/>
    </row>
    <row r="24" spans="1:22" x14ac:dyDescent="0.2">
      <c r="A24" s="79" t="s">
        <v>158</v>
      </c>
    </row>
    <row r="25" spans="1:22" x14ac:dyDescent="0.2">
      <c r="A25" t="s">
        <v>159</v>
      </c>
      <c r="B25" s="80">
        <f>-Assumptions!B12</f>
        <v>-2000000</v>
      </c>
    </row>
    <row r="26" spans="1:22" x14ac:dyDescent="0.2">
      <c r="A26" t="s">
        <v>160</v>
      </c>
      <c r="B26" s="81">
        <f>Assumptions!B13+'Pro Forma'!B12</f>
        <v>1506497.916111619</v>
      </c>
    </row>
    <row r="27" spans="1:22" x14ac:dyDescent="0.2">
      <c r="A27" t="s">
        <v>161</v>
      </c>
    </row>
    <row r="28" spans="1:22" x14ac:dyDescent="0.2">
      <c r="A28" t="s">
        <v>162</v>
      </c>
      <c r="B28" s="82">
        <f>IRR(B30:V30)</f>
        <v>0.22035623058912335</v>
      </c>
    </row>
    <row r="29" spans="1:22" x14ac:dyDescent="0.2">
      <c r="A29" t="s">
        <v>163</v>
      </c>
      <c r="B29" s="83">
        <f>(Assumptions!B13+'Pro Forma'!V12+Dashboard!B11)/Assumptions!B12</f>
        <v>2.6811510836793091</v>
      </c>
    </row>
    <row r="30" spans="1:22" x14ac:dyDescent="0.2">
      <c r="A30" s="84" t="s">
        <v>164</v>
      </c>
      <c r="B30" s="85">
        <f>-Assumptions!B12+Assumptions!B13</f>
        <v>-600000</v>
      </c>
      <c r="C30" s="86">
        <f>'Pro Forma'!B12</f>
        <v>106497.91611161908</v>
      </c>
      <c r="D30" s="86">
        <f>'Pro Forma'!C12</f>
        <v>112233.25611161909</v>
      </c>
      <c r="E30" s="86">
        <f>'Pro Forma'!D12</f>
        <v>118083.30291161907</v>
      </c>
      <c r="F30" s="86">
        <f>'Pro Forma'!E12</f>
        <v>124050.35064761907</v>
      </c>
      <c r="G30" s="86">
        <f>'Pro Forma'!F12</f>
        <v>130136.73933833907</v>
      </c>
      <c r="H30" s="86">
        <f>'Pro Forma'!G12</f>
        <v>136344.85580287344</v>
      </c>
      <c r="I30" s="86">
        <f>'Pro Forma'!H12</f>
        <v>142677.13459669854</v>
      </c>
      <c r="J30" s="86">
        <f>'Pro Forma'!I12</f>
        <v>149136.05896640016</v>
      </c>
      <c r="K30" s="86">
        <f>'Pro Forma'!J12</f>
        <v>155724.16182349582</v>
      </c>
      <c r="L30" s="86">
        <f>'Pro Forma'!K12</f>
        <v>162444.02673773331</v>
      </c>
      <c r="M30" s="86">
        <f>'Pro Forma'!L12</f>
        <v>169298.28895025558</v>
      </c>
      <c r="N30" s="86">
        <f>'Pro Forma'!M12</f>
        <v>176289.63640702827</v>
      </c>
      <c r="O30" s="86">
        <f>'Pro Forma'!N12</f>
        <v>183420.81081293648</v>
      </c>
      <c r="P30" s="86">
        <f>'Pro Forma'!O12</f>
        <v>190694.60870696287</v>
      </c>
      <c r="Q30" s="86">
        <f>'Pro Forma'!P12</f>
        <v>198113.88255886978</v>
      </c>
      <c r="R30" s="86">
        <f>'Pro Forma'!Q12</f>
        <v>205681.54188781479</v>
      </c>
      <c r="S30" s="86">
        <f>'Pro Forma'!R12</f>
        <v>213400.55440333873</v>
      </c>
      <c r="T30" s="86">
        <f>'Pro Forma'!S12</f>
        <v>221273.94716917313</v>
      </c>
      <c r="U30" s="86">
        <f>'Pro Forma'!T12</f>
        <v>229304.80779032424</v>
      </c>
      <c r="V30" s="86">
        <f>'Pro Forma'!U12+Dashboard!B11</f>
        <v>837496.28562389826</v>
      </c>
    </row>
    <row r="31" spans="1:22" x14ac:dyDescent="0.2">
      <c r="A31" s="84" t="s">
        <v>165</v>
      </c>
      <c r="B31" s="87">
        <v>0</v>
      </c>
      <c r="C31" s="87">
        <v>1</v>
      </c>
    </row>
  </sheetData>
  <mergeCells count="12">
    <mergeCell ref="A1:E1"/>
    <mergeCell ref="B21:D21"/>
    <mergeCell ref="A13:E13"/>
    <mergeCell ref="B15:D15"/>
    <mergeCell ref="B16:D16"/>
    <mergeCell ref="B20:D20"/>
    <mergeCell ref="B19:D19"/>
    <mergeCell ref="B14:D14"/>
    <mergeCell ref="B11:C11"/>
    <mergeCell ref="B22:D22"/>
    <mergeCell ref="B17:D17"/>
    <mergeCell ref="B18:D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tabSelected="1" workbookViewId="0">
      <selection sqref="A1:E1"/>
    </sheetView>
  </sheetViews>
  <sheetFormatPr baseColWidth="10" defaultColWidth="8.83203125" defaultRowHeight="15" x14ac:dyDescent="0.2"/>
  <cols>
    <col min="1" max="1" width="38" customWidth="1"/>
    <col min="2" max="5" width="12" customWidth="1"/>
  </cols>
  <sheetData>
    <row r="1" spans="1:5" ht="28" customHeight="1" x14ac:dyDescent="0.2">
      <c r="A1" s="29" t="s">
        <v>121</v>
      </c>
      <c r="B1" s="21"/>
      <c r="C1" s="21"/>
      <c r="D1" s="21"/>
      <c r="E1" s="21"/>
    </row>
    <row r="2" spans="1:5" x14ac:dyDescent="0.2">
      <c r="A2" s="34" t="s">
        <v>122</v>
      </c>
      <c r="B2" s="21"/>
      <c r="C2" s="21"/>
      <c r="D2" s="21"/>
      <c r="E2" s="21"/>
    </row>
    <row r="4" spans="1:5" x14ac:dyDescent="0.2">
      <c r="A4" s="35" t="s">
        <v>123</v>
      </c>
      <c r="B4" s="21"/>
      <c r="C4" s="21"/>
      <c r="D4" s="21"/>
      <c r="E4" s="21"/>
    </row>
    <row r="5" spans="1:5" x14ac:dyDescent="0.2">
      <c r="A5" s="19" t="s">
        <v>5</v>
      </c>
      <c r="B5" s="56">
        <v>24</v>
      </c>
      <c r="C5" s="21"/>
      <c r="D5" s="21"/>
      <c r="E5" s="21"/>
    </row>
    <row r="6" spans="1:5" x14ac:dyDescent="0.2">
      <c r="A6" s="19" t="s">
        <v>6</v>
      </c>
      <c r="B6" s="54">
        <f>Assumptions!B7</f>
        <v>411343</v>
      </c>
      <c r="C6" s="21"/>
      <c r="D6" s="21"/>
      <c r="E6" s="21"/>
    </row>
    <row r="7" spans="1:5" x14ac:dyDescent="0.2">
      <c r="A7" s="19" t="s">
        <v>3</v>
      </c>
      <c r="B7" s="54">
        <f>B5*B6</f>
        <v>9872232</v>
      </c>
      <c r="C7" s="21"/>
      <c r="D7" s="21"/>
      <c r="E7" s="21"/>
    </row>
    <row r="8" spans="1:5" x14ac:dyDescent="0.2">
      <c r="A8" s="19" t="s">
        <v>124</v>
      </c>
      <c r="B8" s="53">
        <v>2200</v>
      </c>
      <c r="C8" s="21"/>
      <c r="D8" s="21"/>
      <c r="E8" s="21"/>
    </row>
    <row r="9" spans="1:5" x14ac:dyDescent="0.2">
      <c r="A9" s="19" t="s">
        <v>10</v>
      </c>
      <c r="B9" s="54">
        <f>B5*B8*12*(1-Assumptions!B20)*(1-Assumptions!B21)</f>
        <v>391248</v>
      </c>
      <c r="C9" s="21"/>
      <c r="D9" s="21"/>
      <c r="E9" s="21"/>
    </row>
    <row r="10" spans="1:5" x14ac:dyDescent="0.2">
      <c r="A10" s="19" t="s">
        <v>11</v>
      </c>
      <c r="B10" s="54">
        <f>-PMT(Assumptions!B32/12,Assumptions!B33*12,B7*Assumptions!B27)*12</f>
        <v>240358.77851784125</v>
      </c>
      <c r="C10" s="21"/>
      <c r="D10" s="21"/>
      <c r="E10" s="21"/>
    </row>
    <row r="11" spans="1:5" x14ac:dyDescent="0.2">
      <c r="A11" s="19" t="s">
        <v>12</v>
      </c>
      <c r="B11" s="54">
        <f>B9-B10</f>
        <v>150889.22148215875</v>
      </c>
      <c r="C11" s="21"/>
      <c r="D11" s="21"/>
      <c r="E11" s="21"/>
    </row>
    <row r="12" spans="1:5" x14ac:dyDescent="0.2">
      <c r="A12" s="19" t="s">
        <v>125</v>
      </c>
      <c r="B12" s="54">
        <f>B11*Assumptions!B22</f>
        <v>90533.532889295253</v>
      </c>
      <c r="C12" s="21"/>
      <c r="D12" s="21"/>
      <c r="E12" s="21"/>
    </row>
    <row r="13" spans="1:5" x14ac:dyDescent="0.2">
      <c r="A13" s="19" t="s">
        <v>13</v>
      </c>
      <c r="B13" s="57">
        <f>B9/B10</f>
        <v>1.6277666345810566</v>
      </c>
      <c r="C13" s="21"/>
      <c r="D13" s="21"/>
      <c r="E13" s="21"/>
    </row>
    <row r="14" spans="1:5" x14ac:dyDescent="0.2">
      <c r="A14" s="19" t="s">
        <v>14</v>
      </c>
      <c r="B14" s="58">
        <f>Assumptions!B27</f>
        <v>0.5</v>
      </c>
      <c r="C14" s="21"/>
      <c r="D14" s="21"/>
      <c r="E14" s="21"/>
    </row>
    <row r="15" spans="1:5" x14ac:dyDescent="0.2">
      <c r="A15" s="19" t="s">
        <v>126</v>
      </c>
      <c r="B15" s="54">
        <f>Assumptions!B22*(B5*B8*12*(1-Assumptions!B20)*(1-Assumptions!B21)*((1+Assumptions!B19)^Assumptions!B35-1)/Assumptions!B19-B10*Assumptions!B35)</f>
        <v>2819473.0612380779</v>
      </c>
      <c r="C15" s="21"/>
      <c r="D15" s="21"/>
      <c r="E15" s="21"/>
    </row>
    <row r="16" spans="1:5" x14ac:dyDescent="0.2">
      <c r="A16" s="20" t="s">
        <v>7</v>
      </c>
      <c r="B16" s="59">
        <f>Assumptions!B13</f>
        <v>1400000</v>
      </c>
      <c r="C16" s="21"/>
      <c r="D16" s="21"/>
      <c r="E16" s="21"/>
    </row>
    <row r="17" spans="1:5" x14ac:dyDescent="0.2">
      <c r="A17" s="20" t="s">
        <v>8</v>
      </c>
      <c r="B17" s="59">
        <f>B7*Assumptions!B29</f>
        <v>479790.47519999999</v>
      </c>
      <c r="C17" s="21"/>
      <c r="D17" s="21"/>
      <c r="E17" s="21"/>
    </row>
    <row r="18" spans="1:5" x14ac:dyDescent="0.2">
      <c r="A18" s="20" t="s">
        <v>9</v>
      </c>
      <c r="B18" s="59">
        <f>Assumptions!B15</f>
        <v>600000</v>
      </c>
      <c r="C18" s="21"/>
      <c r="D18" s="21"/>
      <c r="E18" s="21"/>
    </row>
    <row r="19" spans="1:5" x14ac:dyDescent="0.2">
      <c r="A19" s="13" t="s">
        <v>127</v>
      </c>
      <c r="B19" s="55">
        <f>B16+B15+B18</f>
        <v>4819473.0612380784</v>
      </c>
      <c r="C19" s="21"/>
      <c r="D19" s="21"/>
      <c r="E19" s="21"/>
    </row>
    <row r="20" spans="1:5" x14ac:dyDescent="0.2">
      <c r="A20" s="19" t="s">
        <v>128</v>
      </c>
      <c r="B20" s="54">
        <f>-CUMPRINC(Assumptions!B32/12,Assumptions!B33*12,B7*Assumptions!B27,1,Assumptions!B35*12,0)</f>
        <v>888620.72822845634</v>
      </c>
      <c r="C20" s="21"/>
      <c r="D20" s="21"/>
      <c r="E20" s="21"/>
    </row>
  </sheetData>
  <mergeCells count="19">
    <mergeCell ref="B20:E20"/>
    <mergeCell ref="B16:E16"/>
    <mergeCell ref="B7:E7"/>
    <mergeCell ref="B18:E18"/>
    <mergeCell ref="A2:E2"/>
    <mergeCell ref="B12:E12"/>
    <mergeCell ref="B11:E11"/>
    <mergeCell ref="B14:E14"/>
    <mergeCell ref="B17:E17"/>
    <mergeCell ref="A4:E4"/>
    <mergeCell ref="B8:E8"/>
    <mergeCell ref="B13:E13"/>
    <mergeCell ref="B19:E19"/>
    <mergeCell ref="B10:E10"/>
    <mergeCell ref="B9:E9"/>
    <mergeCell ref="B6:E6"/>
    <mergeCell ref="B15:E15"/>
    <mergeCell ref="A1:E1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Claude Log</vt:lpstr>
      <vt:lpstr>Dashboard</vt:lpstr>
      <vt:lpstr>Assumptions</vt:lpstr>
      <vt:lpstr>Pro Forma</vt:lpstr>
      <vt:lpstr>Sensitivity</vt:lpstr>
      <vt:lpstr>Landowner Waterfall</vt:lpstr>
      <vt:lpstr>24-Unit Alternative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John</cp:lastModifiedBy>
  <dcterms:created xsi:type="dcterms:W3CDTF">2026-05-07T14:20:43Z</dcterms:created>
  <dcterms:modified xsi:type="dcterms:W3CDTF">2026-05-07T15:51:11Z</dcterms:modified>
</cp:coreProperties>
</file>